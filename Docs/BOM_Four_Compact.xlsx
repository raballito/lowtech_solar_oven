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ours\Lowtech\WINS 2026\Four solaire\Docs\"/>
    </mc:Choice>
  </mc:AlternateContent>
  <xr:revisionPtr revIDLastSave="0" documentId="13_ncr:1_{247993C6-DB1F-4A2C-ABE8-6F30AF84B958}" xr6:coauthVersionLast="47" xr6:coauthVersionMax="47" xr10:uidLastSave="{00000000-0000-0000-0000-000000000000}"/>
  <bookViews>
    <workbookView xWindow="28680" yWindow="-825" windowWidth="29040" windowHeight="15720" xr2:uid="{9B0FB0CA-85C4-4742-8405-34084535A597}"/>
  </bookViews>
  <sheets>
    <sheet name="BOM par assamblage" sheetId="1" r:id="rId1"/>
    <sheet name="BOM par type" sheetId="2" r:id="rId2"/>
    <sheet name="Choix Miroirs" sheetId="3" r:id="rId3"/>
  </sheets>
  <definedNames>
    <definedName name="_xlnm.Print_Area" localSheetId="0">'BOM par assamblage'!$A$1:$H$114</definedName>
    <definedName name="_xlnm.Print_Area" localSheetId="1">'BOM par type'!$A$1:$F$25</definedName>
  </definedNames>
  <calcPr calcId="191029"/>
  <customWorkbookViews>
    <customWorkbookView name="Raball Quentin - Affichage personnalisé" guid="{FFA4CF7B-EF93-4B15-9374-ACE14AE79026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3" l="1"/>
  <c r="H7" i="3"/>
  <c r="H6" i="3"/>
  <c r="H5" i="3"/>
  <c r="H17" i="3"/>
  <c r="H14" i="3"/>
  <c r="E12" i="3"/>
  <c r="H11" i="3"/>
  <c r="G4" i="3"/>
  <c r="H4" i="3" s="1"/>
  <c r="G3" i="3"/>
  <c r="F3" i="3"/>
  <c r="F26" i="2"/>
  <c r="F79" i="1" l="1"/>
  <c r="G79" i="1" s="1"/>
  <c r="F86" i="1"/>
  <c r="F93" i="1"/>
  <c r="F100" i="1"/>
  <c r="F23" i="2"/>
  <c r="D16" i="2"/>
  <c r="F21" i="2"/>
  <c r="E12" i="2"/>
  <c r="F12" i="2" s="1"/>
  <c r="G104" i="1"/>
  <c r="G103" i="1"/>
  <c r="G97" i="1"/>
  <c r="G96" i="1"/>
  <c r="G82" i="1"/>
  <c r="G83" i="1"/>
  <c r="G89" i="1"/>
  <c r="G90" i="1"/>
  <c r="F11" i="2"/>
  <c r="F20" i="2"/>
  <c r="E9" i="2"/>
  <c r="F9" i="2" s="1"/>
  <c r="E3" i="2"/>
  <c r="F3" i="2" s="1"/>
  <c r="E4" i="2"/>
  <c r="F4" i="2" s="1"/>
  <c r="E2" i="2"/>
  <c r="F2" i="2" s="1"/>
  <c r="E18" i="2"/>
  <c r="F18" i="2" s="1"/>
  <c r="E5" i="2"/>
  <c r="F5" i="2" s="1"/>
  <c r="E19" i="2"/>
  <c r="F19" i="2" s="1"/>
  <c r="E7" i="2"/>
  <c r="F7" i="2" s="1"/>
  <c r="E17" i="2"/>
  <c r="F17" i="2" s="1"/>
  <c r="E16" i="2"/>
  <c r="E15" i="2"/>
  <c r="F15" i="2" s="1"/>
  <c r="E14" i="2"/>
  <c r="F14" i="2" s="1"/>
  <c r="E13" i="2"/>
  <c r="F13" i="2" s="1"/>
  <c r="E8" i="2"/>
  <c r="E6" i="2"/>
  <c r="F6" i="2" s="1"/>
  <c r="G26" i="1"/>
  <c r="F26" i="1"/>
  <c r="F51" i="1"/>
  <c r="G51" i="1" s="1"/>
  <c r="F17" i="1"/>
  <c r="G17" i="1" s="1"/>
  <c r="F76" i="1"/>
  <c r="G76" i="1" s="1"/>
  <c r="F110" i="1"/>
  <c r="G110" i="1" s="1"/>
  <c r="F107" i="1"/>
  <c r="G107" i="1" s="1"/>
  <c r="F102" i="1"/>
  <c r="G102" i="1" s="1"/>
  <c r="F101" i="1"/>
  <c r="G101" i="1" s="1"/>
  <c r="G100" i="1"/>
  <c r="F95" i="1"/>
  <c r="G95" i="1" s="1"/>
  <c r="F94" i="1"/>
  <c r="G94" i="1" s="1"/>
  <c r="G93" i="1"/>
  <c r="F88" i="1"/>
  <c r="G88" i="1" s="1"/>
  <c r="F87" i="1"/>
  <c r="G87" i="1" s="1"/>
  <c r="G86" i="1"/>
  <c r="F81" i="1"/>
  <c r="G81" i="1" s="1"/>
  <c r="F80" i="1"/>
  <c r="G80" i="1" s="1"/>
  <c r="F75" i="1"/>
  <c r="G75" i="1" s="1"/>
  <c r="F74" i="1"/>
  <c r="G74" i="1" s="1"/>
  <c r="G69" i="1"/>
  <c r="G64" i="1"/>
  <c r="F63" i="1"/>
  <c r="G63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48" i="1"/>
  <c r="G48" i="1" s="1"/>
  <c r="F47" i="1"/>
  <c r="G47" i="1" s="1"/>
  <c r="F32" i="1"/>
  <c r="G32" i="1" s="1"/>
  <c r="F46" i="1"/>
  <c r="G46" i="1" s="1"/>
  <c r="F15" i="1"/>
  <c r="G15" i="1" s="1"/>
  <c r="F4" i="1"/>
  <c r="G4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3" i="1"/>
  <c r="G33" i="1" s="1"/>
  <c r="F31" i="1"/>
  <c r="G31" i="1" s="1"/>
  <c r="F30" i="1"/>
  <c r="G30" i="1" s="1"/>
  <c r="F29" i="1"/>
  <c r="G29" i="1" s="1"/>
  <c r="F28" i="1"/>
  <c r="G28" i="1" s="1"/>
  <c r="F27" i="1"/>
  <c r="G27" i="1" s="1"/>
  <c r="F25" i="1"/>
  <c r="G25" i="1" s="1"/>
  <c r="F24" i="1"/>
  <c r="G24" i="1" s="1"/>
  <c r="F23" i="1"/>
  <c r="G23" i="1" s="1"/>
  <c r="G14" i="1"/>
  <c r="F8" i="1"/>
  <c r="G8" i="1" s="1"/>
  <c r="F20" i="1"/>
  <c r="G20" i="1" s="1"/>
  <c r="F19" i="1"/>
  <c r="G19" i="1" s="1"/>
  <c r="F18" i="1"/>
  <c r="G18" i="1" s="1"/>
  <c r="F16" i="1"/>
  <c r="G16" i="1" s="1"/>
  <c r="F13" i="1"/>
  <c r="G13" i="1" s="1"/>
  <c r="F12" i="1"/>
  <c r="G12" i="1" s="1"/>
  <c r="F10" i="1"/>
  <c r="G10" i="1" s="1"/>
  <c r="F9" i="1"/>
  <c r="G9" i="1" s="1"/>
  <c r="F7" i="1"/>
  <c r="G7" i="1" s="1"/>
  <c r="F6" i="1"/>
  <c r="G6" i="1" s="1"/>
  <c r="F5" i="1"/>
  <c r="G5" i="1" s="1"/>
  <c r="F8" i="2" l="1"/>
  <c r="F16" i="2"/>
  <c r="F3" i="1"/>
  <c r="G3" i="1" s="1"/>
  <c r="F99" i="1"/>
  <c r="G99" i="1" s="1"/>
  <c r="F112" i="1"/>
  <c r="G112" i="1" s="1"/>
  <c r="F113" i="1"/>
  <c r="G113" i="1" s="1"/>
  <c r="F78" i="1"/>
  <c r="G78" i="1" s="1"/>
  <c r="F108" i="1"/>
  <c r="G108" i="1" s="1"/>
  <c r="F92" i="1"/>
  <c r="G92" i="1" s="1"/>
  <c r="F85" i="1"/>
  <c r="G85" i="1" s="1"/>
  <c r="F52" i="1"/>
  <c r="G52" i="1" s="1"/>
  <c r="F50" i="1"/>
  <c r="G50" i="1" s="1"/>
  <c r="F49" i="1"/>
  <c r="F53" i="1"/>
  <c r="F66" i="1"/>
  <c r="G66" i="1" s="1"/>
  <c r="F22" i="1"/>
  <c r="G22" i="1" s="1"/>
  <c r="G49" i="1" l="1"/>
  <c r="F109" i="1"/>
  <c r="G109" i="1" s="1"/>
  <c r="G53" i="1"/>
  <c r="F65" i="1"/>
  <c r="G65" i="1" l="1"/>
  <c r="F55" i="1" s="1"/>
  <c r="G55" i="1" s="1"/>
  <c r="F36" i="1"/>
  <c r="G36" i="1" s="1"/>
  <c r="F2" i="1" l="1"/>
  <c r="F106" i="1"/>
  <c r="G106" i="1" s="1"/>
  <c r="F72" i="1" s="1"/>
  <c r="G117" i="1" s="1"/>
</calcChain>
</file>

<file path=xl/sharedStrings.xml><?xml version="1.0" encoding="utf-8"?>
<sst xmlns="http://schemas.openxmlformats.org/spreadsheetml/2006/main" count="789" uniqueCount="503">
  <si>
    <t>No. ARTICLE</t>
  </si>
  <si>
    <t>NUMERO DE PIECE</t>
  </si>
  <si>
    <t>DESCRIPTION</t>
  </si>
  <si>
    <t>QTE</t>
  </si>
  <si>
    <t>1</t>
  </si>
  <si>
    <t>Assemblage_Four_Solaire</t>
  </si>
  <si>
    <t>1.1</t>
  </si>
  <si>
    <t xml:space="preserve">  Assemblage_Dessous</t>
  </si>
  <si>
    <t>1.1.1</t>
  </si>
  <si>
    <t xml:space="preserve">    Base_Dessous</t>
  </si>
  <si>
    <t>1.1.2</t>
  </si>
  <si>
    <t xml:space="preserve">    Tasseau_304</t>
  </si>
  <si>
    <t>1.1.3</t>
  </si>
  <si>
    <t>1.1.4</t>
  </si>
  <si>
    <t>1.1.5</t>
  </si>
  <si>
    <t xml:space="preserve">    DIN 315-M8-GT-C-C</t>
  </si>
  <si>
    <t>Écrou à oreilles DIN 315 - M8</t>
  </si>
  <si>
    <t>1.1.6</t>
  </si>
  <si>
    <t>1.1.7</t>
  </si>
  <si>
    <t xml:space="preserve">    Cale_Plaque_Acier_Porte</t>
  </si>
  <si>
    <t>1.1.8</t>
  </si>
  <si>
    <t xml:space="preserve">    Plaque_Acier</t>
  </si>
  <si>
    <t>1.1.9</t>
  </si>
  <si>
    <t xml:space="preserve">    Planche_Fermeture</t>
  </si>
  <si>
    <t>Planche_Fermeture (468x55)</t>
  </si>
  <si>
    <t>1.1.10</t>
  </si>
  <si>
    <t xml:space="preserve">    Planche_Derrière</t>
  </si>
  <si>
    <t>1.1.11</t>
  </si>
  <si>
    <t>Charnière Acier Noir</t>
  </si>
  <si>
    <t>1.1.12</t>
  </si>
  <si>
    <t xml:space="preserve">    Hexagon Nut ISO 4034 - M8 - C</t>
  </si>
  <si>
    <t>Écrou hexagonal ISO 4034 - M8</t>
  </si>
  <si>
    <t>1.1.13</t>
  </si>
  <si>
    <t xml:space="preserve">    Complément_isolation_dessous</t>
  </si>
  <si>
    <t>1.2</t>
  </si>
  <si>
    <t xml:space="preserve">  Assemblage_Parois</t>
  </si>
  <si>
    <t>1.2.1</t>
  </si>
  <si>
    <t>1.2.2</t>
  </si>
  <si>
    <t>1.2.3</t>
  </si>
  <si>
    <t xml:space="preserve">    Tasseau_Parois_Biais</t>
  </si>
  <si>
    <t>1.2.4</t>
  </si>
  <si>
    <t>1.2.5</t>
  </si>
  <si>
    <t xml:space="preserve">    Isolation_Parois_Verticale</t>
  </si>
  <si>
    <t>1.2.6</t>
  </si>
  <si>
    <t xml:space="preserve">    Complément_isolation_parois</t>
  </si>
  <si>
    <t>1.2.7</t>
  </si>
  <si>
    <t>1.2.8</t>
  </si>
  <si>
    <t xml:space="preserve">    Washer ISO 7093 - 8</t>
  </si>
  <si>
    <t>Rondelle ISO 7093 - 8</t>
  </si>
  <si>
    <t>1.2.9</t>
  </si>
  <si>
    <t>1.3</t>
  </si>
  <si>
    <t xml:space="preserve">  Assemblage_Fond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</si>
  <si>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</si>
  <si>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</si>
  <si>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</si>
  <si>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</si>
  <si>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</si>
  <si>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</si>
  <si>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</si>
  <si>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</si>
  <si>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 xml:space="preserve">    Fixation_Porte</t>
  </si>
  <si>
    <t>1.3.9</t>
  </si>
  <si>
    <t>1.3.10</t>
  </si>
  <si>
    <t>1.3.11</t>
  </si>
  <si>
    <t xml:space="preserve">    Complément_isolation_fond</t>
  </si>
  <si>
    <t>1.3.12</t>
  </si>
  <si>
    <t>1.3.13</t>
  </si>
  <si>
    <t xml:space="preserve">    DIN EN ISO 7040 - M8 - C</t>
  </si>
  <si>
    <t>1.4</t>
  </si>
  <si>
    <t xml:space="preserve">  Assemblage_Porte</t>
  </si>
  <si>
    <t>1.4.1</t>
  </si>
  <si>
    <t xml:space="preserve">    Planche_Porte_Derrière_Grande</t>
  </si>
  <si>
    <t>1.4.2</t>
  </si>
  <si>
    <t>1.4.3</t>
  </si>
  <si>
    <t>1.4.4</t>
  </si>
  <si>
    <t>1.4.5</t>
  </si>
  <si>
    <t xml:space="preserve">    Poignée_Porte</t>
  </si>
  <si>
    <t>1.4.6</t>
  </si>
  <si>
    <t>2</t>
  </si>
  <si>
    <t>Assemblage_Déflecteurs</t>
  </si>
  <si>
    <t>2.1</t>
  </si>
  <si>
    <t>2.2</t>
  </si>
  <si>
    <t xml:space="preserve">  Tasseau_680</t>
  </si>
  <si>
    <t>2.3</t>
  </si>
  <si>
    <t xml:space="preserve">  Assemblage_Déflecteur_Gauche</t>
  </si>
  <si>
    <t>2.3.1</t>
  </si>
  <si>
    <t>2.3.2</t>
  </si>
  <si>
    <t>2.3.3</t>
  </si>
  <si>
    <t xml:space="preserve">    Tasseau_582</t>
  </si>
  <si>
    <t>2.4</t>
  </si>
  <si>
    <t xml:space="preserve">  Assemblage_Déflecteur_Droite</t>
  </si>
  <si>
    <t>2.4.1</t>
  </si>
  <si>
    <t>2.4.2</t>
  </si>
  <si>
    <t>2.4.3</t>
  </si>
  <si>
    <t xml:space="preserve">    Tasseau_486</t>
  </si>
  <si>
    <t>2.5</t>
  </si>
  <si>
    <t xml:space="preserve">  Assemblage_Déflecteur_Bas</t>
  </si>
  <si>
    <t>2.5.1</t>
  </si>
  <si>
    <t>2.5.2</t>
  </si>
  <si>
    <t>2.5.3</t>
  </si>
  <si>
    <t xml:space="preserve">    Tasseau_627</t>
  </si>
  <si>
    <t>2.6</t>
  </si>
  <si>
    <t xml:space="preserve">  Assemblage_Déflecteur_Haut</t>
  </si>
  <si>
    <t>2.6.1</t>
  </si>
  <si>
    <t>2.6.2</t>
  </si>
  <si>
    <t>2.6.3</t>
  </si>
  <si>
    <t>Dimensions brutes</t>
  </si>
  <si>
    <t>Lien achat</t>
  </si>
  <si>
    <t>500x400x6</t>
  </si>
  <si>
    <t>304x48x24</t>
  </si>
  <si>
    <t>Plaque de base dessous</t>
  </si>
  <si>
    <t>Opérations supplémentaires</t>
  </si>
  <si>
    <t>Tasseau dessous court</t>
  </si>
  <si>
    <t xml:space="preserve">    Tasseau_500_Dessous</t>
  </si>
  <si>
    <t>Tasseau dessous long</t>
  </si>
  <si>
    <t>500x48x24</t>
  </si>
  <si>
    <t>M8x100</t>
  </si>
  <si>
    <t xml:space="preserve">    DIN EN 24015 - M8 x 100</t>
  </si>
  <si>
    <t>Vis tête hexagonale DIN EN 24015 - M8 x 100</t>
  </si>
  <si>
    <t>A fixer sur les tasseaux long</t>
  </si>
  <si>
    <t>M8</t>
  </si>
  <si>
    <t>Pour fixation des parois</t>
  </si>
  <si>
    <t xml:space="preserve">    Isolation_Dessous</t>
  </si>
  <si>
    <t>Isolation en liège expensé</t>
  </si>
  <si>
    <t>303x102x20</t>
  </si>
  <si>
    <t>Idéalement, épaisseur de 24mm, sinon compléter avec panneau en bois de 4mm</t>
  </si>
  <si>
    <t xml:space="preserve">    Cale_Plaque_Acier</t>
  </si>
  <si>
    <t>Cale pour plaque acier</t>
  </si>
  <si>
    <t>360x240x5</t>
  </si>
  <si>
    <t>A repeindre en noir avec peinture compatible avec la nourriture</t>
  </si>
  <si>
    <t>Plaque acier</t>
  </si>
  <si>
    <t>Planche de maintient de la vitre</t>
  </si>
  <si>
    <t>Trous pour passage de vis Ø5 (deux par côtés)</t>
  </si>
  <si>
    <t>Trous pour passage de vis Ø5 (3 pour fixation sur tasseau 304)</t>
  </si>
  <si>
    <t>Planche de maintient des charnière</t>
  </si>
  <si>
    <t>Trous pour passage de vis Ø5 (2 pour fixation sur tasseau 304 + charnière (TBD))</t>
  </si>
  <si>
    <t>50x50</t>
  </si>
  <si>
    <t>Panneau complémentaire à l'isolation</t>
  </si>
  <si>
    <t>303x102x4</t>
  </si>
  <si>
    <t>Laisser du jeu pour qu'elles soient facilement positionnable sur l'isolation</t>
  </si>
  <si>
    <t>500x468x55</t>
  </si>
  <si>
    <t>Assemblage de la partie du dessous</t>
  </si>
  <si>
    <t>Assemblage des parois</t>
  </si>
  <si>
    <t>500x500x58</t>
  </si>
  <si>
    <t>Parois symétriques. Attention au montage. Grande plaques et tasseau suppl. à l'extérieur</t>
  </si>
  <si>
    <t>Plaque de base parois</t>
  </si>
  <si>
    <t>500x500x6</t>
  </si>
  <si>
    <t>Attention, deux versions différentes. La grande plaque à l'extérieur avec trous suppl. sur la diagonale</t>
  </si>
  <si>
    <t xml:space="preserve">    Tasseau_500_Parois</t>
  </si>
  <si>
    <t>Trous pour passage des vis M8 de fixation avec le dessous</t>
  </si>
  <si>
    <t>Tasseau de biais parois</t>
  </si>
  <si>
    <t>639x48x24</t>
  </si>
  <si>
    <t>452x48x24</t>
  </si>
  <si>
    <t>Tasseau horizontal parois</t>
  </si>
  <si>
    <t>Tasseau verticale parois</t>
  </si>
  <si>
    <t>Trous de passage des vis M8 de fixation avec le fond. Attention à la position des trous.</t>
  </si>
  <si>
    <t>383x383x20</t>
  </si>
  <si>
    <t>Idéalement, épaisseur de 24mm, sinon compléter avec panneau en bois de 4mm. Couper le carré à 45°</t>
  </si>
  <si>
    <t>M8x60</t>
  </si>
  <si>
    <t>A fixer sur le tasseau de biais intérieur</t>
  </si>
  <si>
    <t>Ø24x2</t>
  </si>
  <si>
    <t xml:space="preserve">    ISO - 7040 - M8 - C</t>
  </si>
  <si>
    <t>Écrou autofreiné hexagonal ISO 7040 - M8</t>
  </si>
  <si>
    <t>Pour fixation du tasseau extérieur sur parois.</t>
  </si>
  <si>
    <t>Assemblage du fond</t>
  </si>
  <si>
    <t xml:space="preserve">Attention au sens haut-bas. </t>
  </si>
  <si>
    <t>400x200x6</t>
  </si>
  <si>
    <t>Tasseau verticale fond</t>
  </si>
  <si>
    <t>200x48x24</t>
  </si>
  <si>
    <t>Lamages de chaque côté Ø20 &amp; Ø14 et trous passage de vis Ø8</t>
  </si>
  <si>
    <t>Tasseau horizontal fond</t>
  </si>
  <si>
    <t>Sur celui du bas, ajouter un trou de passage de vis Ø8 et lamage Ø14</t>
  </si>
  <si>
    <t>1.3.14</t>
  </si>
  <si>
    <t xml:space="preserve">    Isolation_Fond</t>
  </si>
  <si>
    <t xml:space="preserve">    Planche_Fond_Grande</t>
  </si>
  <si>
    <t>Planche Derrière Grande</t>
  </si>
  <si>
    <t>Trous pour passage de vis Ø5 (deux par côtés) + 1 trou Ø9 pour vis de verrouillage de la porte.</t>
  </si>
  <si>
    <t>Système de fermeture de la porte</t>
  </si>
  <si>
    <t>60x48x24</t>
  </si>
  <si>
    <t>Arrondir les angles et un trou de passage de vis Ø9</t>
  </si>
  <si>
    <t>Trous pour passage de vis Ø5 (3 pour fixation sur tasseau 304 du haut)</t>
  </si>
  <si>
    <t>Assemblage Partie Boite</t>
  </si>
  <si>
    <t>Assemblage Partie Déflecteurs</t>
  </si>
  <si>
    <t>Assemblage de la porte</t>
  </si>
  <si>
    <t>Plaque de base du fond</t>
  </si>
  <si>
    <t>Grande plaque de la porte</t>
  </si>
  <si>
    <t>Petites plaque de base de la porte</t>
  </si>
  <si>
    <t>Trous pour passage de vis Ø5 (deux par côté + charnière (TBD))</t>
  </si>
  <si>
    <t>Trous pour passage de vis Ø5 (deux par côté + plaque acier (TBD))</t>
  </si>
  <si>
    <t>Trous de passage de vis Ø5 pour fixation sur dessous</t>
  </si>
  <si>
    <t>260x48x24</t>
  </si>
  <si>
    <t>Tasseau vertical porte</t>
  </si>
  <si>
    <t>Tasseau horizontal porte</t>
  </si>
  <si>
    <t>303x163x20</t>
  </si>
  <si>
    <t>303x163x4</t>
  </si>
  <si>
    <t>Doit être percée et maintenue à la porte, séparée par les cales</t>
  </si>
  <si>
    <t>Trous de passage de vis Ø5 pour fixation sur porte</t>
  </si>
  <si>
    <t>Poignée en bois pour porte</t>
  </si>
  <si>
    <t>TBD</t>
  </si>
  <si>
    <t>728x566x80</t>
  </si>
  <si>
    <t>518x48x24</t>
  </si>
  <si>
    <t>2x2 trous Ø5 aux extrémités pour former le cadre du déflecteurs</t>
  </si>
  <si>
    <t>Tasseau Cadre Déflecteurs Court</t>
  </si>
  <si>
    <t>Tasseau Cadre Déflecteurs Long</t>
  </si>
  <si>
    <t>680x48x24</t>
  </si>
  <si>
    <t>Panneau déflecteur gauche</t>
  </si>
  <si>
    <t>678x435x28</t>
  </si>
  <si>
    <t>Panneau miroir gauche</t>
  </si>
  <si>
    <t>435x48x24</t>
  </si>
  <si>
    <t>582x48x24</t>
  </si>
  <si>
    <t>Tasseau déflecteur gauche court</t>
  </si>
  <si>
    <t>Tasseau déflecteur gauche long</t>
  </si>
  <si>
    <t>Panneau déflecteur droite</t>
  </si>
  <si>
    <t>Panneau miroir droite</t>
  </si>
  <si>
    <t xml:space="preserve">    Tasseau_415</t>
  </si>
  <si>
    <t xml:space="preserve">    Tasseau_435</t>
  </si>
  <si>
    <t>Tasseau déflecteur droite court</t>
  </si>
  <si>
    <t>Tasseau déflecteur droite long</t>
  </si>
  <si>
    <t>415x48x24</t>
  </si>
  <si>
    <t>Panneau déflecteur bas</t>
  </si>
  <si>
    <t>Panneau déflecteur haut</t>
  </si>
  <si>
    <t>Panneau miroir bas</t>
  </si>
  <si>
    <t>Panneau miroir haut</t>
  </si>
  <si>
    <t>Tasseau déflecteur bas court</t>
  </si>
  <si>
    <t>Tasseau déflecteur haut court</t>
  </si>
  <si>
    <t>Tasseau déflecteur bas long</t>
  </si>
  <si>
    <t>Tasseau déflecteur haut long</t>
  </si>
  <si>
    <t>675x415x28</t>
  </si>
  <si>
    <t>627x48x24</t>
  </si>
  <si>
    <t xml:space="preserve">    Tasseau_677</t>
  </si>
  <si>
    <t>677x48x24</t>
  </si>
  <si>
    <t xml:space="preserve">  Tasseau_518</t>
  </si>
  <si>
    <t>Perçage pour tringle Ø3 tous les 15mm</t>
  </si>
  <si>
    <t>Tasseau de support des parois latérales</t>
  </si>
  <si>
    <t>273x48x24</t>
  </si>
  <si>
    <t>Couper une extrémité à 108°</t>
  </si>
  <si>
    <t>Tringle de support du panneau haut</t>
  </si>
  <si>
    <t>Ø3x450</t>
  </si>
  <si>
    <t>A plier en forme de U. Petites partie de 24mm de long</t>
  </si>
  <si>
    <t xml:space="preserve">    Charnière50x50</t>
  </si>
  <si>
    <t>A fixer sur "Planche_Derrière" et à la porte (2x)</t>
  </si>
  <si>
    <t>Hettich charnière de meuble | acier | noir | 50 mm</t>
  </si>
  <si>
    <t xml:space="preserve">Charnières de piano </t>
  </si>
  <si>
    <t>1.5</t>
  </si>
  <si>
    <t xml:space="preserve"> Vitre</t>
  </si>
  <si>
    <t>Vitre 4mm</t>
  </si>
  <si>
    <t>1.1.14</t>
  </si>
  <si>
    <t>Ø4.5x20</t>
  </si>
  <si>
    <t>Vis pour fixations des panneaux bois</t>
  </si>
  <si>
    <t>Attention à les décaler dessous-dessus.</t>
  </si>
  <si>
    <t>1.2.10</t>
  </si>
  <si>
    <t>1.3.15</t>
  </si>
  <si>
    <t>400x260x6</t>
  </si>
  <si>
    <t>Pour fixer le cadre sur le four</t>
  </si>
  <si>
    <t>Attention à les décaler dessous-dessus</t>
  </si>
  <si>
    <t>1.1.15</t>
  </si>
  <si>
    <t xml:space="preserve">    Vis à bois Ø4,5x20</t>
  </si>
  <si>
    <t xml:space="preserve">    Vis à bois Ø4,5x30</t>
  </si>
  <si>
    <t>Vis pour fixation de la plaque acier</t>
  </si>
  <si>
    <t>Ø4.5x30</t>
  </si>
  <si>
    <t>Pour la fixation de la plaque acier.</t>
  </si>
  <si>
    <t>1.4.7</t>
  </si>
  <si>
    <t>Vis à bois Ø4.5 x 20</t>
  </si>
  <si>
    <t>Vis à bois Ø4.5 x 50</t>
  </si>
  <si>
    <t>Ø4.5x50</t>
  </si>
  <si>
    <t>Pour fixation du cadre</t>
  </si>
  <si>
    <t>510x505x516</t>
  </si>
  <si>
    <t>Assembler les panneaux à l'aide des écrous à oreilles</t>
  </si>
  <si>
    <t>1.1.16</t>
  </si>
  <si>
    <t>Vis pour fixation des face devant et derrnière</t>
  </si>
  <si>
    <t>Les vis doivent être plus courte pour ne pas poser problème</t>
  </si>
  <si>
    <t>1.3.16</t>
  </si>
  <si>
    <t>A découper selon les plans</t>
  </si>
  <si>
    <t>vitrerie en ligne</t>
  </si>
  <si>
    <t>Liège - Meige Matériaux</t>
  </si>
  <si>
    <t xml:space="preserve">    Base_Parois</t>
  </si>
  <si>
    <t xml:space="preserve">    Base_Fond</t>
  </si>
  <si>
    <t>Tasseau brut Oecoplan | 2000 x 24 x 48 mm Acheter chez JUMBO</t>
  </si>
  <si>
    <t>250x20x4</t>
  </si>
  <si>
    <t>472x55x6</t>
  </si>
  <si>
    <t>472x34x6</t>
  </si>
  <si>
    <t xml:space="preserve">    Tasseau_200_Fond</t>
  </si>
  <si>
    <t xml:space="preserve">    Tasseau_304_Fond</t>
  </si>
  <si>
    <t xml:space="preserve">    Tasseau_452_Parois</t>
  </si>
  <si>
    <t>472x270x6</t>
  </si>
  <si>
    <t>472x270x50</t>
  </si>
  <si>
    <t>725x524x28</t>
  </si>
  <si>
    <t xml:space="preserve">    Tasseau_524</t>
  </si>
  <si>
    <t>578x415x28</t>
  </si>
  <si>
    <t>482x48x24</t>
  </si>
  <si>
    <t>631x458x4</t>
  </si>
  <si>
    <t>Ajuster le jeu entre la plaque du haut et la vitre avec un morceau de tissus / liège (max 1mm à compenser)</t>
  </si>
  <si>
    <t>Ayce Vis à Tête Hexagonale | M8 Acheter chez JUMBO</t>
  </si>
  <si>
    <t>Pour fixation du tasseau de fermeture de la porte</t>
  </si>
  <si>
    <t>Ayce Écrou de sécurité | SW13 Acheter chez JUMBO</t>
  </si>
  <si>
    <t>Ayce Écrou à ailettes | M8 Acheter chez JUMBO</t>
  </si>
  <si>
    <t>Ayce Écrou Hexagonal | M8 Acheter chez JUMBO</t>
  </si>
  <si>
    <t>Ayce Rondelle | M8 Acheter chez JUMBO</t>
  </si>
  <si>
    <t>Vis universelle à tête fraisée | 4.5 × 20 mm Acheter chez JUMBO</t>
  </si>
  <si>
    <t xml:space="preserve">    Vis à bois Ø4,5x16</t>
  </si>
  <si>
    <t>Ayce Vis à bois universelle à tête fraisée | 4 × 16 mm Acheter chez JUMBO</t>
  </si>
  <si>
    <t>Ayce Vis à bois universelle à tête fraisée | 4.5 × 30 mm Acheter chez JUMBO</t>
  </si>
  <si>
    <t>Ayce Vis universelle à tête bombée pour bois | 4.5 × 50 mm Acheter chez JUMBO</t>
  </si>
  <si>
    <t>Siro Poignée de meuble en Érable Brut | 107 × 14 × 29 mm Acheter chez JUMBO</t>
  </si>
  <si>
    <t>600x32</t>
  </si>
  <si>
    <t>Hettich charnière piano charnière à piano | Noir | 600 mm Acheter chez JUMBO</t>
  </si>
  <si>
    <t xml:space="preserve">    DIN EN 24015 - M8 x 60</t>
  </si>
  <si>
    <t xml:space="preserve">    DIN EN 24015 - M8 x 90</t>
  </si>
  <si>
    <t>Vis tête hexagonale DIN EN 24015 - M8 x 90</t>
  </si>
  <si>
    <t>Vis tête hexagonale DIN EN 24015 - M8 x 60</t>
  </si>
  <si>
    <t>M8x90</t>
  </si>
  <si>
    <t>26CHF/m2</t>
  </si>
  <si>
    <t>1.2CHF/m</t>
  </si>
  <si>
    <t>7CHF/6pièce</t>
  </si>
  <si>
    <t>10.8CHF/panneau</t>
  </si>
  <si>
    <t>8.4CHF/panneau</t>
  </si>
  <si>
    <t>21CHF/m2</t>
  </si>
  <si>
    <t>27CHF/m2</t>
  </si>
  <si>
    <t>6CHF/5pièce</t>
  </si>
  <si>
    <t>5.5CHF/2pièces</t>
  </si>
  <si>
    <t>3CHF/10pièce</t>
  </si>
  <si>
    <t>6CHF/70Pièces</t>
  </si>
  <si>
    <t>8CHF/70pièces</t>
  </si>
  <si>
    <t>Ayce Vis à bois universelle à tête fraisée | 20 × 4.5 mm Acheter chez JUMBO</t>
  </si>
  <si>
    <t>6CHF/50pièces</t>
  </si>
  <si>
    <t>6CHF/6pièces</t>
  </si>
  <si>
    <t>6CHF/10pièces</t>
  </si>
  <si>
    <t>Prix Unitaire [CHF]</t>
  </si>
  <si>
    <t>Prix Tot [CHF]</t>
  </si>
  <si>
    <t xml:space="preserve">    Isolation_Porte</t>
  </si>
  <si>
    <t xml:space="preserve">    Tasseau_260</t>
  </si>
  <si>
    <t xml:space="preserve">    Base_Porte</t>
  </si>
  <si>
    <t xml:space="preserve">    Complément_isolation_porte</t>
  </si>
  <si>
    <t>1.4.8</t>
  </si>
  <si>
    <t>1.4.9</t>
  </si>
  <si>
    <t>1.4.10</t>
  </si>
  <si>
    <t>1.4.11</t>
  </si>
  <si>
    <t>472x200x6</t>
  </si>
  <si>
    <t>472x205x60</t>
  </si>
  <si>
    <t>Ø4.5x16</t>
  </si>
  <si>
    <t>107*14*29</t>
  </si>
  <si>
    <t>6.2CHF/pièce</t>
  </si>
  <si>
    <t>8CHF/6pièce</t>
  </si>
  <si>
    <t>4CHF/pièce</t>
  </si>
  <si>
    <t>9CHF/50pièce</t>
  </si>
  <si>
    <t>Quinquaillerie Diverse</t>
  </si>
  <si>
    <t xml:space="preserve">  Divers</t>
  </si>
  <si>
    <t xml:space="preserve">    ISO - 4034 - M8 - C</t>
  </si>
  <si>
    <t xml:space="preserve">    Tasseau_Support_Parois</t>
  </si>
  <si>
    <t xml:space="preserve">    Tringle</t>
  </si>
  <si>
    <t xml:space="preserve">    Vis à bois Ø4.5 x 20</t>
  </si>
  <si>
    <t xml:space="preserve">    Charnières</t>
  </si>
  <si>
    <t>1.6</t>
  </si>
  <si>
    <t>Total Four + Déflecteur (HT ni livraison)</t>
  </si>
  <si>
    <t xml:space="preserve">  Cadre déflecteurs</t>
  </si>
  <si>
    <t>Cadre support déflecteurs</t>
  </si>
  <si>
    <t>728x566x48</t>
  </si>
  <si>
    <t>2.1.1</t>
  </si>
  <si>
    <t>2.1.2</t>
  </si>
  <si>
    <t>2.2.1</t>
  </si>
  <si>
    <t>2.2.2</t>
  </si>
  <si>
    <t>2.6.4</t>
  </si>
  <si>
    <t>2.6.5</t>
  </si>
  <si>
    <t>2.6.6</t>
  </si>
  <si>
    <t>2.6.7</t>
  </si>
  <si>
    <t>1.3.17</t>
  </si>
  <si>
    <t>1.1.17</t>
  </si>
  <si>
    <t>1.2.11</t>
  </si>
  <si>
    <t>Tasseau_Parois_Ext</t>
  </si>
  <si>
    <t>Tasseau Extérieur pour support déflecteurs</t>
  </si>
  <si>
    <t>540x48x24</t>
  </si>
  <si>
    <t xml:space="preserve">Couper les extrémités à 45°. Deux trous de passages de vis M8. Intérieur avec lamages suppl. </t>
  </si>
  <si>
    <t>Deux trous Ø10 pour fixation du cadre du déflecteur.</t>
  </si>
  <si>
    <t>Dénomination</t>
  </si>
  <si>
    <t>Plaque de base 6mm</t>
  </si>
  <si>
    <t>Pour découpe laser</t>
  </si>
  <si>
    <t>800x500x6</t>
  </si>
  <si>
    <t>Tasseaux 24x48</t>
  </si>
  <si>
    <t>Tasseau bruts</t>
  </si>
  <si>
    <t>24x48x2000</t>
  </si>
  <si>
    <t>Panneaux isolation liège expensé</t>
  </si>
  <si>
    <t>DIN EN 24015 - M8 x 90</t>
  </si>
  <si>
    <t>DIN 315-M8-GT-C-C</t>
  </si>
  <si>
    <t>Plaque de base 4mm</t>
  </si>
  <si>
    <t>800x500x4</t>
  </si>
  <si>
    <t>Pour découpe laser - Complément isolation</t>
  </si>
  <si>
    <t>Plaque Acier</t>
  </si>
  <si>
    <t>Charnière 50x50</t>
  </si>
  <si>
    <t>1000*500*20</t>
  </si>
  <si>
    <t>DIN EN 24015 - M8 x 60</t>
  </si>
  <si>
    <t>Ecrou Autofreiné 7040 - M8 - C</t>
  </si>
  <si>
    <t>Poignée_Porte</t>
  </si>
  <si>
    <t>Vitre</t>
  </si>
  <si>
    <t>2.1.3</t>
  </si>
  <si>
    <t xml:space="preserve">   Vis à bois Ø4.5 x 50</t>
  </si>
  <si>
    <t>2.3.4</t>
  </si>
  <si>
    <t>2.3.5</t>
  </si>
  <si>
    <t>2.2.3</t>
  </si>
  <si>
    <t>2.2.4</t>
  </si>
  <si>
    <t>2.2.5</t>
  </si>
  <si>
    <t>2.4.4</t>
  </si>
  <si>
    <t>2.4.5</t>
  </si>
  <si>
    <t>2.5.4</t>
  </si>
  <si>
    <t>2.5.5</t>
  </si>
  <si>
    <t>500x32</t>
  </si>
  <si>
    <t>400x32</t>
  </si>
  <si>
    <t>DIN EN 24015 - M8 x 100</t>
  </si>
  <si>
    <t>Ecrou hexagonal ISO 4034 - M8</t>
  </si>
  <si>
    <t>Tringle</t>
  </si>
  <si>
    <t>Charnières piano</t>
  </si>
  <si>
    <t>Vis à bois Ø4,5 x 30</t>
  </si>
  <si>
    <t>Vis à bois Ø4,5 x 20</t>
  </si>
  <si>
    <t>Vis à bois Ø4,5 x 16</t>
  </si>
  <si>
    <t>Miroir en Polystyrène | 100 × 200 cm Acheter chez JUMBO</t>
  </si>
  <si>
    <t>Miroir en polystyrène pour déflecteurs</t>
  </si>
  <si>
    <t>2000x1000x2</t>
  </si>
  <si>
    <t xml:space="preserve"> Tôle aluminium fine</t>
  </si>
  <si>
    <t>Tôle alu miroir pour intérieur du four</t>
  </si>
  <si>
    <t>600x1000x0.8</t>
  </si>
  <si>
    <t>Alfer Tôle lisse en Aluminium | 1000 × 600 × 0.8 mm Acheter chez JUMBO</t>
  </si>
  <si>
    <t>2.6.8</t>
  </si>
  <si>
    <t>Tôle aluminium fine</t>
  </si>
  <si>
    <t>Tôle aluminium fine pour intérieur four</t>
  </si>
  <si>
    <t>630x455x4</t>
  </si>
  <si>
    <t>678x435x2</t>
  </si>
  <si>
    <t>578x415x2</t>
  </si>
  <si>
    <t>675x415x2</t>
  </si>
  <si>
    <t>725x524x2</t>
  </si>
  <si>
    <t xml:space="preserve">    Miroir en Polystyrène | 100x200cm</t>
  </si>
  <si>
    <t>A découper selon plans</t>
  </si>
  <si>
    <t xml:space="preserve">Miroir polystyrène </t>
  </si>
  <si>
    <t>Miroir pour déflecteur</t>
  </si>
  <si>
    <t xml:space="preserve">    Miroir_Déflecteur_Haut</t>
  </si>
  <si>
    <t xml:space="preserve">    Miroir_Déflecteur_Bas</t>
  </si>
  <si>
    <t xml:space="preserve">    Miroir_Déflecteur_Droite</t>
  </si>
  <si>
    <t xml:space="preserve">    Miroir_Déflecteur_Gauche</t>
  </si>
  <si>
    <t>1000x600x0,8</t>
  </si>
  <si>
    <t>Panneau contreplaqué en peuplier Oecoplan A/B 6 mm Acheter chez JUMBO</t>
  </si>
  <si>
    <t>Panneau contreplaqué en peuplier Oecoplan A/B 4 mm Acheter chez JUMBO</t>
  </si>
  <si>
    <t>21 CHF/m2</t>
  </si>
  <si>
    <t>42CHF/pièce</t>
  </si>
  <si>
    <t>36CHF/m2</t>
  </si>
  <si>
    <t>383x383x4</t>
  </si>
  <si>
    <t>Matériaux</t>
  </si>
  <si>
    <t>Miroir Intérieur</t>
  </si>
  <si>
    <t>Fournisseur</t>
  </si>
  <si>
    <t>Type</t>
  </si>
  <si>
    <t>Tôle mince</t>
  </si>
  <si>
    <t>Site internet</t>
  </si>
  <si>
    <t>Tôle M101611 - Debrunner Acifer</t>
  </si>
  <si>
    <t>Debrunner Acifer</t>
  </si>
  <si>
    <t>Dimension [mm]</t>
  </si>
  <si>
    <t>Prix [CHF]</t>
  </si>
  <si>
    <t>Aluminium EN AW-1085</t>
  </si>
  <si>
    <t>Prix livraison [CHF]</t>
  </si>
  <si>
    <t>Prix total TTC [CHF]</t>
  </si>
  <si>
    <t>Poids [kg]</t>
  </si>
  <si>
    <t>Tôle polie miroir, SuperMirror finish 8 sur une face, avec film de protection fiberlaser une face | achat en ligne | HANS KOHLER SA</t>
  </si>
  <si>
    <t>2500x1250x1</t>
  </si>
  <si>
    <t>Inox 1.4301</t>
  </si>
  <si>
    <t>Kohler</t>
  </si>
  <si>
    <t>2500x1250x0,8</t>
  </si>
  <si>
    <t>Dibond miroir argent 3mm, 1250x3050mm | Antalis Suisse</t>
  </si>
  <si>
    <t>Panneau composite</t>
  </si>
  <si>
    <t>Dibond miroir</t>
  </si>
  <si>
    <t>Antalis</t>
  </si>
  <si>
    <t>3050x1250x3</t>
  </si>
  <si>
    <t>Alucobond Plus / RF2 schwerbrennbar, BKZ 5.3 | Allega-Shop</t>
  </si>
  <si>
    <t>Alucobond Plus</t>
  </si>
  <si>
    <t>Allega</t>
  </si>
  <si>
    <t>4000x1500x4</t>
  </si>
  <si>
    <t>Miroir Extérieur</t>
  </si>
  <si>
    <t>Aluminium MIRO</t>
  </si>
  <si>
    <t>S-ReflecT</t>
  </si>
  <si>
    <t>Réflecteur solaire non adhésif - S.Reflect 500 - Solar Brother</t>
  </si>
  <si>
    <t>SolarBrother</t>
  </si>
  <si>
    <t>1830x900x0,5</t>
  </si>
  <si>
    <t>Remarque</t>
  </si>
  <si>
    <t>Panneau de bois requis</t>
  </si>
  <si>
    <t>Panneau bois + film</t>
  </si>
  <si>
    <t>Miroir en polystyrène</t>
  </si>
  <si>
    <t>Jumbo</t>
  </si>
  <si>
    <t>Kantoflex Tôle lisse</t>
  </si>
  <si>
    <t>Bauhaus</t>
  </si>
  <si>
    <t>2 pièces nécessaire</t>
  </si>
  <si>
    <t>Buchman</t>
  </si>
  <si>
    <t>Alfer Tôle lisse alu 0,8 mm soudée, nue Largeur 600 mm, longueur 1000 mm - acheter chez buchmann.ch</t>
  </si>
  <si>
    <t>1000x1000x2</t>
  </si>
  <si>
    <t>Miroir en polystyrène 2mm 100x100cm Acheter chez JUMBO</t>
  </si>
  <si>
    <t>ALANOD GmbH &amp; Co. KG (DE)</t>
  </si>
  <si>
    <t>MIRO® reflector surfaces for indoor lights</t>
  </si>
  <si>
    <t>Film pour vitres d-c-fix Film anti-regards miroir 90 cm x 1,50 m Acheter chez JUMBO</t>
  </si>
  <si>
    <t>1500x900x0,2</t>
  </si>
  <si>
    <t>Bois + film miroir PVC</t>
  </si>
  <si>
    <t xml:space="preserve">Idéalement, prendre de l'aluminium poli miroir, ou panneau bois 4mm avec film miroir. </t>
  </si>
  <si>
    <t>Faire 2x2 prétrous Ø3,5 pour assemblage cadre du déflecteurs. Lamages pour vis M8 dessus dessous et coté int.</t>
  </si>
  <si>
    <t>Hornbach</t>
  </si>
  <si>
    <t>ALBERTS Tôle lisse Aluminium 600 x 1000 x 0,8 mm - HORNBACH</t>
  </si>
  <si>
    <t>Fournisseur étranger</t>
  </si>
  <si>
    <t>Mylar horticulture</t>
  </si>
  <si>
    <t>Film miroir PVC</t>
  </si>
  <si>
    <t>Bache repliée</t>
  </si>
  <si>
    <t>Aluminium non traité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</si>
</sst>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CHF&quot;;[Red]\-#,##0\ &quot;CHF&quot;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WIsop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WIsop1"/>
    </font>
    <font>
      <b/>
      <sz val="12"/>
      <color theme="1"/>
      <name val="SWIsop1"/>
    </font>
    <font>
      <b/>
      <sz val="14"/>
      <color theme="1"/>
      <name val="SWIsop1"/>
    </font>
    <font>
      <b/>
      <sz val="16"/>
      <color theme="1"/>
      <name val="Calibri"/>
      <family val="2"/>
      <scheme val="minor"/>
    </font>
    <font>
      <b/>
      <sz val="11"/>
      <color theme="1"/>
      <name val="SWIsop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49" fontId="0" fillId="0" borderId="0" xfId="0" applyNumberFormat="1"/>
    <xf numFmtId="0" fontId="2" fillId="0" borderId="0" xfId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0" fillId="2" borderId="0" xfId="0" applyFill="1"/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1" xfId="0" quotePrefix="1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2" fontId="6" fillId="0" borderId="1" xfId="0" applyNumberFormat="1" applyFont="1" applyFill="1" applyBorder="1" applyAlignment="1">
      <alignment horizontal="center" vertical="center" wrapText="1"/>
    </xf>
    <xf numFmtId="2" fontId="8" fillId="0" borderId="0" xfId="0" applyNumberFormat="1" applyFont="1"/>
    <xf numFmtId="2" fontId="7" fillId="0" borderId="2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Font="1" applyFill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/>
    <xf numFmtId="6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/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1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42" Type="http://schemas.openxmlformats.org/officeDocument/2006/relationships/hyperlink" Target="https://www.jumbo.ch/fr/gros-outillage-atelier/petite-quincaillerie/rondelles-plates-ecrous-gefundene-terminologie-eintraege4/ayce-rondelle--m8/p/6928510?tt=X1NFUF9iNzM1YjIyMDFhYzBkNWZiMmYyOTg0NzFhOGY1ZThiMl9QT1NfMQ==" TargetMode="External"/><Relationship Id="rId47" Type="http://schemas.openxmlformats.org/officeDocument/2006/relationships/hyperlink" Target="https://www.jumbo.ch/fr/gros-outillage-atelier/petite-quincaillerie/vis/vis-a-bois/ayce-vis-a-bois-universelle-a-tete-fraisee--4--16-mm/p/6928458?tt=X1NFUF9iZjExNzBiMzc2NDliMjgwNzgzY2VhOWI5NjQ0YjMzOV9QT1NfMTk=" TargetMode="External"/><Relationship Id="rId63" Type="http://schemas.openxmlformats.org/officeDocument/2006/relationships/hyperlink" Target="https://www.jumbo.ch/fr/construction-renovation/bois/decoupe-du-bois/panneaux-contreplaques/panneau-contreplaque-en-peuplier-oecoplan-ab-4-mm/p/4706098?tt=X1NFUF9lY2RmOWJlN2VmNWI2NzliYmI0ZDQxOWNjNDdhNjQ1ZV9QT1NfMTg=" TargetMode="External"/><Relationship Id="rId68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2" Type="http://schemas.openxmlformats.org/officeDocument/2006/relationships/hyperlink" Target="https://www.jumbo.ch/fr/gros-outillage-atelier/ferrures-accessoires/ferrures/charnieres-vivaneaux/hettich-charniere-de-meuble--acier--noir--50-mm/p/7491098?tt=X1NFUF9kZmViNmRlNWQ4YzU5MzIyYWE2ZjE1OTEwZGQ1MDE0NF9QT1NfOQ==" TargetMode="External"/><Relationship Id="rId16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9" Type="http://schemas.openxmlformats.org/officeDocument/2006/relationships/hyperlink" Target="https://www.jumbo.ch/fr/gros-outillage-atelier/petite-quincaillerie/vis/vis-a-metaux/ayce-vis-a-tete-hexagonale--m8/p/6930585?tt=X1NFUF84ZDQ3OWY2MzRjYTBhZmI5ZDhmNjY3OWQ5NDNmNDhlZF9QT1NfMjE=" TargetMode="External"/><Relationship Id="rId11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4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32" Type="http://schemas.openxmlformats.org/officeDocument/2006/relationships/hyperlink" Target="https://www.jumbo.ch/fr/gros-outillage-atelier/petite-quincaillerie/rondelles-plates-ecrous-gefundene-terminologie-eintraege4/ayce-ecrou-de-securite--sw13/p/6930107?tt=YnVuZGxlfGFyZWExfEF8QnVuZGxlfEJVTkRMRV9PVEd8T1RHX2J1bmRsZV9NYXJrZV9TRVBf" TargetMode="External"/><Relationship Id="rId37" Type="http://schemas.openxmlformats.org/officeDocument/2006/relationships/hyperlink" Target="https://www.jumbo.ch/fr/gros-outillage-atelier/petite-quincaillerie/rondelles-plates-ecrous-gefundene-terminologie-eintraege4/ayce-ecrou-hexagonal--m8/p/6930078?tt=X1NFUF9lMGU2Yjk4NzIyMDdkYjMzMWZmODg4YzBmODg4MDU4YV9QT1NfMTU=" TargetMode="External"/><Relationship Id="rId40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45" Type="http://schemas.openxmlformats.org/officeDocument/2006/relationships/hyperlink" Target="https://www.jumbo.ch/fr/gros-outillage-atelier/petite-quincaillerie/vis/vis-a-bois/vis-universelle-a-tete-fraisee--45--20-mm/p/6934638?tt=X1NFUF84NGM4MWE3YjlkYjJmMDUzNmQ3ODY2ZDEwMDdjZDUwNF9QT1NfMjQ=" TargetMode="External"/><Relationship Id="rId53" Type="http://schemas.openxmlformats.org/officeDocument/2006/relationships/hyperlink" Target="https://www.jumbo.ch/fr/gros-outillage-atelier/petite-quincaillerie/vis/vis-a-bois/ayce-vis-a-bois-universelle-a-tete-fraisee--20--45-mm/p/6929252?tt=cHJvZHVjdHxhcmVhMnxBfFN0YW5kYXJka2FtcGFnbmV8cHJvZHVjdF9jcm9zc3NlbGxpbmd8UDJQX3Byb2R1Y3RfU0VQXw==" TargetMode="External"/><Relationship Id="rId58" Type="http://schemas.openxmlformats.org/officeDocument/2006/relationships/hyperlink" Target="https://www.jumbo.ch/fr/construction-renovation/verre-verre-synthetique/verre-synthetique/miroir-en-polystyrene--100--200-cm/p/3374634?tt=X1NFUF8zZDE1YTM3MTkzODNiYmU4MDBlYzk1MDdmNWY0ZWEzNV9QT1NfOQ==" TargetMode="External"/><Relationship Id="rId66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74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5" Type="http://schemas.openxmlformats.org/officeDocument/2006/relationships/hyperlink" Target="https://meige.ch/produits/isolation-et-etancheite/liege" TargetMode="External"/><Relationship Id="rId61" Type="http://schemas.openxmlformats.org/officeDocument/2006/relationships/hyperlink" Target="https://www.jumbo.ch/fr/construction-renovation/bois/decoupe-du-bois/panneaux-contreplaques/panneau-contreplaque-en-peuplier-oecoplan-ab-4-mm/p/4706098?tt=X1NFUF9lY2RmOWJlN2VmNWI2NzliYmI0ZDQxOWNjNDdhNjQ1ZV9QT1NfMTg=" TargetMode="External"/><Relationship Id="rId19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14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2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7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30" Type="http://schemas.openxmlformats.org/officeDocument/2006/relationships/hyperlink" Target="https://www.jumbo.ch/fr/gros-outillage-atelier/petite-quincaillerie/vis/vis-a-metaux/ayce-vis-a-tete-hexagonale--m8/p/6930585?tt=X1NFUF84ZDQ3OWY2MzRjYTBhZmI5ZDhmNjY3OWQ5NDNmNDhlZF9QT1NfMjE=" TargetMode="External"/><Relationship Id="rId35" Type="http://schemas.openxmlformats.org/officeDocument/2006/relationships/hyperlink" Target="https://www.jumbo.ch/fr/gros-outillage-atelier/petite-quincaillerie/rondelles-plates-ecrous-gefundene-terminologie-eintraege4/ayce-ecrou-a-ailettes--m8/p/6930000?tt=X1NFUF8wM2RiMTljYTY4ZWFmMGVjZmY1Nzg0M2MwY2Q4ZjcwM19QT1NfNg==" TargetMode="External"/><Relationship Id="rId43" Type="http://schemas.openxmlformats.org/officeDocument/2006/relationships/hyperlink" Target="https://www.jumbo.ch/fr/gros-outillage-atelier/petite-quincaillerie/vis/vis-a-bois/vis-universelle-a-tete-fraisee--45--20-mm/p/6934638?tt=X1NFUF84NGM4MWE3YjlkYjJmMDUzNmQ3ODY2ZDEwMDdjZDUwNF9QT1NfMjQ=" TargetMode="External"/><Relationship Id="rId48" Type="http://schemas.openxmlformats.org/officeDocument/2006/relationships/hyperlink" Target="https://www.jumbo.ch/fr/gros-outillage-atelier/petite-quincaillerie/vis/vis-a-bois/ayce-vis-a-bois-universelle-a-tete-fraisee--45--30-mm/p/6930359?tt=X1NFUF8yNTUyNmQ5ZDMwZWRkMmFmMWZiY2NkZDE5ZjIyNWUzM19QT1NfMw==" TargetMode="External"/><Relationship Id="rId56" Type="http://schemas.openxmlformats.org/officeDocument/2006/relationships/hyperlink" Target="https://www.jumbo.ch/fr/construction-renovation/verre-verre-synthetique/verre-synthetique/miroir-en-polystyrene--100--200-cm/p/3374634?tt=X1NFUF8zZDE1YTM3MTkzODNiYmU4MDBlYzk1MDdmNWY0ZWEzNV9QT1NfOQ==" TargetMode="External"/><Relationship Id="rId64" Type="http://schemas.openxmlformats.org/officeDocument/2006/relationships/hyperlink" Target="https://www.jumbo.ch/fr/construction-renovation/bois/decoupe-du-bois/panneaux-contreplaques/panneau-contreplaque-en-peuplier-oecoplan-ab-4-mm/p/4706098?tt=X1NFUF9lY2RmOWJlN2VmNWI2NzliYmI0ZDQxOWNjNDdhNjQ1ZV9QT1NfMTg=" TargetMode="External"/><Relationship Id="rId69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8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51" Type="http://schemas.openxmlformats.org/officeDocument/2006/relationships/hyperlink" Target="https://www.jumbo.ch/fr/gros-outillage-atelier/petite-quincaillerie/vis/vis-a-metaux/ayce-vis-a-tete-hexagonale--m8/p/6930456?tt=X1NFUF9kNzg0MWViYzk3ZjNhNDhiNWY5NWQyMjRlZGE0MzY5OV9QT1NfMTk=" TargetMode="External"/><Relationship Id="rId72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3" Type="http://schemas.openxmlformats.org/officeDocument/2006/relationships/hyperlink" Target="https://vitreenligne.ch/fr/verre-transparent-/441-verre-float-4-mm-clair-verre-float-4-mm-clair-accueil-chf-1400.html" TargetMode="External"/><Relationship Id="rId12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17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5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33" Type="http://schemas.openxmlformats.org/officeDocument/2006/relationships/hyperlink" Target="https://www.jumbo.ch/fr/gros-outillage-atelier/petite-quincaillerie/rondelles-plates-ecrous-gefundene-terminologie-eintraege4/ayce-ecrou-de-securite--sw13/p/6930107?tt=YnVuZGxlfGFyZWExfEF8QnVuZGxlfEJVTkRMRV9PVEd8T1RHX2J1bmRsZV9NYXJrZV9TRVBf" TargetMode="External"/><Relationship Id="rId38" Type="http://schemas.openxmlformats.org/officeDocument/2006/relationships/hyperlink" Target="https://www.jumbo.ch/fr/gros-outillage-atelier/petite-quincaillerie/rondelles-plates-ecrous-gefundene-terminologie-eintraege4/ayce-ecrou-hexagonal--m8/p/6930078?tt=X1NFUF9lMGU2Yjk4NzIyMDdkYjMzMWZmODg4YzBmODg4MDU4YV9QT1NfMTU=" TargetMode="External"/><Relationship Id="rId46" Type="http://schemas.openxmlformats.org/officeDocument/2006/relationships/hyperlink" Target="https://www.jumbo.ch/fr/gros-outillage-atelier/petite-quincaillerie/vis/vis-a-bois/ayce-vis-a-bois-universelle-a-tete-fraisee--4--16-mm/p/6928458?tt=X1NFUF9iZjExNzBiMzc2NDliMjgwNzgzY2VhOWI5NjQ0YjMzOV9QT1NfMTk=" TargetMode="External"/><Relationship Id="rId59" Type="http://schemas.openxmlformats.org/officeDocument/2006/relationships/hyperlink" Target="https://www.jumbo.ch/fr/construction-renovation/verre-verre-synthetique/verre-synthetique/miroir-en-polystyrene--100--200-cm/p/3374634?tt=X1NFUF8zZDE1YTM3MTkzODNiYmU4MDBlYzk1MDdmNWY0ZWEzNV9QT1NfOQ==" TargetMode="External"/><Relationship Id="rId67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20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41" Type="http://schemas.openxmlformats.org/officeDocument/2006/relationships/hyperlink" Target="https://www.jumbo.ch/fr/gros-outillage-atelier/petite-quincaillerie/rondelles-plates-ecrous-gefundene-terminologie-eintraege4/ayce-rondelle--m8/p/6928510?tt=X1NFUF9iNzM1YjIyMDFhYzBkNWZiMmYyOTg0NzFhOGY1ZThiMl9QT1NfMQ==" TargetMode="External"/><Relationship Id="rId54" Type="http://schemas.openxmlformats.org/officeDocument/2006/relationships/hyperlink" Target="https://www.jumbo.ch/fr/gros-outillage-atelier/ferrures-accessoires/profils/profiles-en-aluminium/alfer-tole-lisse-en-aluminium--1000--600--08-mm/p/4151895?tt=YnVuZGxlfGFyZWExfEF8QnVuZGxlfEJVTkRMRV9PVEdfTWFya2VufE9UR19idW5kbGVfTWFya2VfU0VQXw==" TargetMode="External"/><Relationship Id="rId62" Type="http://schemas.openxmlformats.org/officeDocument/2006/relationships/hyperlink" Target="https://www.jumbo.ch/fr/construction-renovation/bois/decoupe-du-bois/panneaux-contreplaques/panneau-contreplaque-en-peuplier-oecoplan-ab-4-mm/p/4706098?tt=X1NFUF9lY2RmOWJlN2VmNWI2NzliYmI0ZDQxOWNjNDdhNjQ1ZV9QT1NfMTg=" TargetMode="External"/><Relationship Id="rId70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s://meige.ch/produits/isolation-et-etancheite/liege" TargetMode="External"/><Relationship Id="rId15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3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8" Type="http://schemas.openxmlformats.org/officeDocument/2006/relationships/hyperlink" Target="https://www.jumbo.ch/fr/gros-outillage-atelier/petite-quincaillerie/vis/vis-a-metaux/ayce-vis-a-tete-hexagonale--m8/p/6930462?tt=X1NFUF83MjM1ZTkwYTFhZDU3MzcwZDRjNmZkMjhiOWViMzljN19QT1NfMTY=" TargetMode="External"/><Relationship Id="rId36" Type="http://schemas.openxmlformats.org/officeDocument/2006/relationships/hyperlink" Target="https://www.jumbo.ch/fr/gros-outillage-atelier/petite-quincaillerie/rondelles-plates-ecrous-gefundene-terminologie-eintraege4/ayce-ecrou-a-ailettes--m8/p/6930000?tt=X1NFUF8wM2RiMTljYTY4ZWFmMGVjZmY1Nzg0M2MwY2Q4ZjcwM19QT1NfNg==" TargetMode="External"/><Relationship Id="rId49" Type="http://schemas.openxmlformats.org/officeDocument/2006/relationships/hyperlink" Target="https://www.jumbo.ch/fr/gros-outillage-atelier/petite-quincaillerie/vis/vis-a-bois/ayce-vis-a-bois-universelle-a-tete-fraisee--45--30-mm/p/6930359?tt=X1NFUF8yNTUyNmQ5ZDMwZWRkMmFmMWZiY2NkZDE5ZjIyNWUzM19QT1NfMw==" TargetMode="External"/><Relationship Id="rId57" Type="http://schemas.openxmlformats.org/officeDocument/2006/relationships/hyperlink" Target="https://www.jumbo.ch/fr/construction-renovation/verre-verre-synthetique/verre-synthetique/miroir-en-polystyrene--100--200-cm/p/3374634?tt=X1NFUF8zZDE1YTM3MTkzODNiYmU4MDBlYzk1MDdmNWY0ZWEzNV9QT1NfOQ==" TargetMode="External"/><Relationship Id="rId10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31" Type="http://schemas.openxmlformats.org/officeDocument/2006/relationships/hyperlink" Target="https://www.jumbo.ch/fr/gros-outillage-atelier/petite-quincaillerie/vis/vis-a-metaux/ayce-vis-a-tete-hexagonale--m8/p/6930585?tt=X1NFUF84ZDQ3OWY2MzRjYTBhZmI5ZDhmNjY3OWQ5NDNmNDhlZF9QT1NfMjE=" TargetMode="External"/><Relationship Id="rId44" Type="http://schemas.openxmlformats.org/officeDocument/2006/relationships/hyperlink" Target="https://www.jumbo.ch/fr/gros-outillage-atelier/petite-quincaillerie/vis/vis-a-bois/vis-universelle-a-tete-fraisee--45--20-mm/p/6934638?tt=X1NFUF84NGM4MWE3YjlkYjJmMDUzNmQ3ODY2ZDEwMDdjZDUwNF9QT1NfMjQ=" TargetMode="External"/><Relationship Id="rId52" Type="http://schemas.openxmlformats.org/officeDocument/2006/relationships/hyperlink" Target="https://www.jumbo.ch/fr/gros-outillage-atelier/petite-quincaillerie/vis/vis-a-metaux/ayce-vis-a-tete-hexagonale--m8/p/6930456?tt=X1NFUF9kNzg0MWViYzk3ZjNhNDhiNWY5NWQyMjRlZGE0MzY5OV9QT1NfMTk=" TargetMode="External"/><Relationship Id="rId60" Type="http://schemas.openxmlformats.org/officeDocument/2006/relationships/hyperlink" Target="https://www.jumbo.ch/fr/construction-renovation/bois/decoupe-du-bois/panneaux-contreplaques/panneau-contreplaque-en-peuplier-oecoplan-ab-4-mm/p/4706098?tt=X1NFUF9lY2RmOWJlN2VmNWI2NzliYmI0ZDQxOWNjNDdhNjQ1ZV9QT1NfMTg=" TargetMode="External"/><Relationship Id="rId65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73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4" Type="http://schemas.openxmlformats.org/officeDocument/2006/relationships/hyperlink" Target="https://meige.ch/produits/isolation-et-etancheite/liege" TargetMode="External"/><Relationship Id="rId9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13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18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39" Type="http://schemas.openxmlformats.org/officeDocument/2006/relationships/hyperlink" Target="https://www.jumbo.ch/fr/gros-outillage-atelier/petite-quincaillerie/rondelles-plates-ecrous-gefundene-terminologie-eintraege4/ayce-ecrou-hexagonal--m8/p/6930078?tt=X1NFUF9lMGU2Yjk4NzIyMDdkYjMzMWZmODg4YzBmODg4MDU4YV9QT1NfMTU=" TargetMode="External"/><Relationship Id="rId34" Type="http://schemas.openxmlformats.org/officeDocument/2006/relationships/hyperlink" Target="https://www.jumbo.ch/fr/gros-outillage-atelier/petite-quincaillerie/rondelles-plates-ecrous-gefundene-terminologie-eintraege4/ayce-ecrou-a-ailettes--m8/p/6930000?tt=X1NFUF8wM2RiMTljYTY4ZWFmMGVjZmY1Nzg0M2MwY2Q4ZjcwM19QT1NfNg==" TargetMode="External"/><Relationship Id="rId50" Type="http://schemas.openxmlformats.org/officeDocument/2006/relationships/hyperlink" Target="https://www.jumbo.ch/fr/gros-outillage-atelier/ferrures-accessoires/ferrures/boutons-poignees/siro-poignee-de-meuble-en-erable-brut--107--14--29-mm/p/3444144?tt=cHJvZHVjdHxhcmVhMnxBfFN0YW5kYXJka2FtcGFnbmV8b3JkZXJlZF90b2dldGhlcl9QRFB8b3JkZXJlZF90b2dldGhlcl9QRFBfU0VQXw==" TargetMode="External"/><Relationship Id="rId55" Type="http://schemas.openxmlformats.org/officeDocument/2006/relationships/hyperlink" Target="https://www.jumbo.ch/fr/construction-renovation/verre-verre-synthetique/verre-synthetique/miroir-en-polystyrene--100--200-cm/p/3374634?tt=X1NFUF8zZDE1YTM3MTkzODNiYmU4MDBlYzk1MDdmNWY0ZWEzNV9QT1NfOQ==" TargetMode="External"/><Relationship Id="rId7" Type="http://schemas.openxmlformats.org/officeDocument/2006/relationships/hyperlink" Target="https://meige.ch/produits/isolation-et-etancheite/liege" TargetMode="External"/><Relationship Id="rId71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mbo.ch/fr/gros-outillage-atelier/petite-quincaillerie/rondelles-plates-ecrous-gefundene-terminologie-eintraege4/ayce-ecrou-hexagonal--m8/p/6930078?tt=X1NFUF9lMGU2Yjk4NzIyMDdkYjMzMWZmODg4YzBmODg4MDU4YV9QT1NfMTU=" TargetMode="External"/><Relationship Id="rId13" Type="http://schemas.openxmlformats.org/officeDocument/2006/relationships/hyperlink" Target="https://www.jumbo.ch/fr/gros-outillage-atelier/petite-quincaillerie/vis/vis-a-metaux/ayce-vis-a-tete-hexagonale--m8/p/6930456?tt=X1NFUF9kNzg0MWViYzk3ZjNhNDhiNWY5NWQyMjRlZGE0MzY5OV9QT1NfMTk=" TargetMode="External"/><Relationship Id="rId18" Type="http://schemas.openxmlformats.org/officeDocument/2006/relationships/hyperlink" Target="https://www.jumbo.ch/fr/gros-outillage-atelier/ferrures-accessoires/profils/profiles-en-aluminium/alfer-tole-lisse-en-aluminium--1000--600--08-mm/p/4151895?tt=YnVuZGxlfGFyZWExfEF8QnVuZGxlfEJVTkRMRV9PVEdfTWFya2VufE9UR19idW5kbGVfTWFya2VfU0VQXw==" TargetMode="External"/><Relationship Id="rId3" Type="http://schemas.openxmlformats.org/officeDocument/2006/relationships/hyperlink" Target="https://www.jumbo.ch/fr/construction-renovation/bois/bois-de-construction-bois-profile/lattes-de-toit/tasseau-brut-oecoplan--2000-x-24-x-48-mm/p/3851678?tt=c2VhcmNofGFyZWExfEF8U3RhbmRhcmRrYW1wYWduZXxzZWFyY2hfc2VhcmNodGVybV9yZWxhdGVkfFNUMlBfU0VQXw==" TargetMode="External"/><Relationship Id="rId21" Type="http://schemas.openxmlformats.org/officeDocument/2006/relationships/hyperlink" Target="https://www.jumbo.ch/fr/gros-outillage-atelier/petite-quincaillerie/rondelles-plates-ecrous-gefundene-terminologie-eintraege4/ayce-rondelle--m8/p/6928510?tt=X1NFUF80Mjk0NGU0MTJkNTlmZmMwNWYyZDJkYmE2ZjA0ZjI1ZF9QT1NfMQ==" TargetMode="External"/><Relationship Id="rId7" Type="http://schemas.openxmlformats.org/officeDocument/2006/relationships/hyperlink" Target="https://www.jumbo.ch/fr/gros-outillage-atelier/petite-quincaillerie/rondelles-plates-ecrous-gefundene-terminologie-eintraege4/ayce-ecrou-a-ailettes--m8/p/6930000?tt=X1NFUF8wM2RiMTljYTY4ZWFmMGVjZmY1Nzg0M2MwY2Q4ZjcwM19QT1NfNg==" TargetMode="External"/><Relationship Id="rId12" Type="http://schemas.openxmlformats.org/officeDocument/2006/relationships/hyperlink" Target="https://www.jumbo.ch/fr/gros-outillage-atelier/ferrures-accessoires/ferrures/boutons-poignees/siro-poignee-de-meuble-en-erable-brut--107--14--29-mm/p/3444144?tt=cHJvZHVjdHxhcmVhMnxBfFN0YW5kYXJka2FtcGFnbmV8b3JkZXJlZF90b2dldGhlcl9QRFB8b3JkZXJlZF90b2dldGhlcl9QRFBfU0VQXw==" TargetMode="External"/><Relationship Id="rId17" Type="http://schemas.openxmlformats.org/officeDocument/2006/relationships/hyperlink" Target="https://www.jumbo.ch/fr/construction-renovation/verre-verre-synthetique/verre-synthetique/miroir-en-polystyrene--100--200-cm/p/3374634?tt=X1NFUF8zZDE1YTM3MTkzODNiYmU4MDBlYzk1MDdmNWY0ZWEzNV9QT1NfOQ==" TargetMode="External"/><Relationship Id="rId2" Type="http://schemas.openxmlformats.org/officeDocument/2006/relationships/hyperlink" Target="https://meige.ch/produits/isolation-et-etancheite/liege" TargetMode="External"/><Relationship Id="rId16" Type="http://schemas.openxmlformats.org/officeDocument/2006/relationships/hyperlink" Target="https://vitreenligne.ch/fr/verre-transparent-/441-verre-float-4-mm-clair-verre-float-4-mm-clair-accueil-chf-1400.html" TargetMode="External"/><Relationship Id="rId20" Type="http://schemas.openxmlformats.org/officeDocument/2006/relationships/hyperlink" Target="https://www.jumbo.ch/fr/construction-renovation/bois/decoupe-du-bois/panneaux-contreplaques/panneau-contreplaque-en-peuplier-oecoplan-ab-4-mm/p/4706098?tt=X1NFUF9lY2RmOWJlN2VmNWI2NzliYmI0ZDQxOWNjNDdhNjQ1ZV9QT1NfMTg=" TargetMode="External"/><Relationship Id="rId1" Type="http://schemas.openxmlformats.org/officeDocument/2006/relationships/hyperlink" Target="https://www.jumbo.ch/fr/gros-outillage-atelier/ferrures-accessoires/ferrures/charnieres-vivaneaux/hettich-charniere-de-meuble--acier--noir--50-mm/p/7491098?tt=X1NFUF9kZmViNmRlNWQ4YzU5MzIyYWE2ZjE1OTEwZGQ1MDE0NF9QT1NfOQ==" TargetMode="External"/><Relationship Id="rId6" Type="http://schemas.openxmlformats.org/officeDocument/2006/relationships/hyperlink" Target="https://www.jumbo.ch/fr/gros-outillage-atelier/petite-quincaillerie/rondelles-plates-ecrous-gefundene-terminologie-eintraege4/ayce-ecrou-de-securite--sw13/p/6930107?tt=YnVuZGxlfGFyZWExfEF8QnVuZGxlfEJVTkRMRV9PVEd8T1RHX2J1bmRsZV9NYXJrZV9TRVBf" TargetMode="External"/><Relationship Id="rId11" Type="http://schemas.openxmlformats.org/officeDocument/2006/relationships/hyperlink" Target="https://www.jumbo.ch/fr/gros-outillage-atelier/petite-quincaillerie/vis/vis-a-bois/ayce-vis-universelle-a-tete-bombee-pour-bois--45--50-mm/p/6932252?tt=X1NFUF8wMzdjNjVmNmFiMTczYzQ5ZTA4YjUzODk1NGMyNzkwYV9QT1NfMjM=" TargetMode="External"/><Relationship Id="rId5" Type="http://schemas.openxmlformats.org/officeDocument/2006/relationships/hyperlink" Target="https://www.jumbo.ch/fr/gros-outillage-atelier/petite-quincaillerie/vis/vis-a-metaux/ayce-vis-a-tete-hexagonale--m8/p/6930585?tt=X1NFUF84ZDQ3OWY2MzRjYTBhZmI5ZDhmNjY3OWQ5NDNmNDhlZF9QT1NfMjE=" TargetMode="External"/><Relationship Id="rId15" Type="http://schemas.openxmlformats.org/officeDocument/2006/relationships/hyperlink" Target="https://www.jumbo.ch/fr/gros-outillage-atelier/ferrures-accessoires/ferrures/charnieres-vivaneaux/hettich-charniere-piano-charniere-a-piano--noir--600-mm/p/7491087?tt=X1NFUF9kYzQ3M2UwNWJkMmRlYjQ4MjY0MDQxMTZhZTE5ZGE0N19QT1NfMg==" TargetMode="External"/><Relationship Id="rId10" Type="http://schemas.openxmlformats.org/officeDocument/2006/relationships/hyperlink" Target="https://www.jumbo.ch/fr/gros-outillage-atelier/petite-quincaillerie/vis/vis-a-bois/ayce-vis-a-bois-universelle-a-tete-fraisee--45--30-mm/p/6930359?tt=X1NFUF8yNTUyNmQ5ZDMwZWRkMmFmMWZiY2NkZDE5ZjIyNWUzM19QT1NfMw==" TargetMode="External"/><Relationship Id="rId19" Type="http://schemas.openxmlformats.org/officeDocument/2006/relationships/hyperlink" Target="https://www.jumbo.ch/fr/construction-renovation/bois/decoupe-du-bois/panneaux-contreplaques/panneau-contreplaque-en-peuplier-oecoplan-ab-6-mm/p/4706102?tt=X1NFUF8xZmMxMzQwYjQ1Zjk2ZjExYjUxMjRjNzc2ZGU0NTY5Ml9QT1NfMTM=" TargetMode="External"/><Relationship Id="rId4" Type="http://schemas.openxmlformats.org/officeDocument/2006/relationships/hyperlink" Target="https://www.jumbo.ch/fr/gros-outillage-atelier/petite-quincaillerie/vis/vis-a-metaux/ayce-vis-a-tete-hexagonale--m8/p/6930462?tt=X1NFUF83MjM1ZTkwYTFhZDU3MzcwZDRjNmZkMjhiOWViMzljN19QT1NfMTY=" TargetMode="External"/><Relationship Id="rId9" Type="http://schemas.openxmlformats.org/officeDocument/2006/relationships/hyperlink" Target="https://www.jumbo.ch/fr/gros-outillage-atelier/petite-quincaillerie/vis/vis-a-bois/ayce-vis-a-bois-universelle-a-tete-fraisee--4--16-mm/p/6928458?tt=X1NFUF9iZjExNzBiMzc2NDliMjgwNzgzY2VhOWI5NjQ0YjMzOV9QT1NfMTk=" TargetMode="External"/><Relationship Id="rId14" Type="http://schemas.openxmlformats.org/officeDocument/2006/relationships/hyperlink" Target="https://www.jumbo.ch/fr/gros-outillage-atelier/petite-quincaillerie/vis/vis-a-bois/ayce-vis-a-bois-universelle-a-tete-fraisee--20--45-mm/p/6929252?tt=cHJvZHVjdHxhcmVhMnxBfFN0YW5kYXJka2FtcGFnbmV8cHJvZHVjdF9jcm9zc3NlbGxpbmd8UDJQX3Byb2R1Y3RfU0VQXw==" TargetMode="External"/><Relationship Id="rId22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mbo.ch/fr/construction-renovation/verre-verre-synthetique/verre-synthetique/miroir-en-polystyrene-2mm-100x100cm/p/3374633?tt=cHJvZHVjdHxhcmVhMnxBfFN0YW5kYXJka2FtcGFnbmV8cHJvZHVjdF9jcm9zc3NlbGxpbmd8UDJQX3Byb2R1Y3RfU0VQXw==" TargetMode="External"/><Relationship Id="rId3" Type="http://schemas.openxmlformats.org/officeDocument/2006/relationships/hyperlink" Target="https://www.antalis.ch/eshop/fr/visual-communication/plaques-elements-decoratifs/dibond-miroir-argent-3mm-1250x3050mm-pdp-hq02145/sku-330886" TargetMode="External"/><Relationship Id="rId7" Type="http://schemas.openxmlformats.org/officeDocument/2006/relationships/hyperlink" Target="https://www.buchmann.ch/fr/alfer-tle-lisse-alu-08-mm-soudee-nue-largeur-600-mm-longueur-1000-mm-p-530590.html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kohler.ch/fr/produit/705010tole-supermirror" TargetMode="External"/><Relationship Id="rId1" Type="http://schemas.openxmlformats.org/officeDocument/2006/relationships/hyperlink" Target="https://shop.d-a.ch/prod/f/10237606" TargetMode="External"/><Relationship Id="rId6" Type="http://schemas.openxmlformats.org/officeDocument/2006/relationships/hyperlink" Target="https://www.bauhaus.ch/fr/toles-lisses/kantoflex-tole-lisse/p/10244677" TargetMode="External"/><Relationship Id="rId11" Type="http://schemas.openxmlformats.org/officeDocument/2006/relationships/hyperlink" Target="https://www.hornbach.ch/fr/p/alberts-tole-lisse-aluminium-600-x-1000-x-0-8-mm/7296989/" TargetMode="External"/><Relationship Id="rId5" Type="http://schemas.openxmlformats.org/officeDocument/2006/relationships/hyperlink" Target="https://www.solarbrother.com/acheter/reflecteur-solaire-adhesif-s-reflect-500/" TargetMode="External"/><Relationship Id="rId10" Type="http://schemas.openxmlformats.org/officeDocument/2006/relationships/hyperlink" Target="https://www.jumbo.ch/fr/sejour-eclairage/accessoires-d-interieur/films-adhesifs/film-pour-vitres-d-c-fix-film-anti-regards-miroir-90-cm-x-150-m/p/7339081?tt=X1NFUF9iY2QzMzFjZDgxOTRhMzE3NGRhOWM3ZWU2ZmQ5OGEwZl9QT1NfMw==" TargetMode="External"/><Relationship Id="rId4" Type="http://schemas.openxmlformats.org/officeDocument/2006/relationships/hyperlink" Target="https://www.allega.ch/Alucobond-Plus-RF2-schwerbrennbar-BKZ-5.3/782204" TargetMode="External"/><Relationship Id="rId9" Type="http://schemas.openxmlformats.org/officeDocument/2006/relationships/hyperlink" Target="https://alanod.com/applications/lighting-industry/indo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6685-DC22-43E4-BD40-1A17681D281B}">
  <sheetPr>
    <pageSetUpPr autoPageBreaks="0" fitToPage="1"/>
  </sheetPr>
  <dimension ref="A1:K117"/>
  <sheetViews>
    <sheetView tabSelected="1" topLeftCell="F1" zoomScaleNormal="100" workbookViewId="0">
      <selection activeCell="I1" sqref="I1:J1048576"/>
    </sheetView>
  </sheetViews>
  <sheetFormatPr baseColWidth="10" defaultRowHeight="20.100000000000001" customHeight="1" x14ac:dyDescent="0.25"/>
  <cols>
    <col min="1" max="1" width="11.7109375" style="1" customWidth="1"/>
    <col min="2" max="2" width="29.140625" bestFit="1" customWidth="1"/>
    <col min="3" max="3" width="38.85546875" bestFit="1" customWidth="1"/>
    <col min="4" max="4" width="24.85546875" customWidth="1"/>
    <col min="5" max="5" width="5.42578125" customWidth="1"/>
    <col min="6" max="6" width="20" customWidth="1"/>
    <col min="7" max="7" width="17.28515625" customWidth="1"/>
    <col min="8" max="8" width="87.140625" customWidth="1"/>
    <col min="9" max="9" width="55.42578125" customWidth="1"/>
    <col min="10" max="11" width="11.42578125" style="42"/>
  </cols>
  <sheetData>
    <row r="1" spans="1:11" s="13" customFormat="1" ht="19.5" x14ac:dyDescent="0.25">
      <c r="A1" s="10" t="s">
        <v>0</v>
      </c>
      <c r="B1" s="11" t="s">
        <v>1</v>
      </c>
      <c r="C1" s="11" t="s">
        <v>2</v>
      </c>
      <c r="D1" s="11" t="s">
        <v>106</v>
      </c>
      <c r="E1" s="11" t="s">
        <v>3</v>
      </c>
      <c r="F1" s="11" t="s">
        <v>327</v>
      </c>
      <c r="G1" s="11" t="s">
        <v>328</v>
      </c>
      <c r="H1" s="11" t="s">
        <v>111</v>
      </c>
      <c r="I1" s="12" t="s">
        <v>107</v>
      </c>
      <c r="J1" s="41"/>
      <c r="K1" s="41"/>
    </row>
    <row r="2" spans="1:11" ht="19.5" customHeight="1" x14ac:dyDescent="0.25">
      <c r="A2" s="3" t="s">
        <v>4</v>
      </c>
      <c r="B2" s="5" t="s">
        <v>5</v>
      </c>
      <c r="C2" s="4" t="s">
        <v>181</v>
      </c>
      <c r="D2" s="4" t="s">
        <v>266</v>
      </c>
      <c r="E2" s="4">
        <v>1</v>
      </c>
      <c r="F2" s="64">
        <f>G3+G22+G36+G55+G69+G68</f>
        <v>194.5151338095238</v>
      </c>
      <c r="G2" s="65"/>
      <c r="H2" s="4" t="s">
        <v>267</v>
      </c>
    </row>
    <row r="3" spans="1:11" ht="24" x14ac:dyDescent="0.55000000000000004">
      <c r="A3" s="3" t="s">
        <v>6</v>
      </c>
      <c r="B3" s="5" t="s">
        <v>7</v>
      </c>
      <c r="C3" s="4" t="s">
        <v>141</v>
      </c>
      <c r="D3" s="4" t="s">
        <v>140</v>
      </c>
      <c r="E3" s="4">
        <v>1</v>
      </c>
      <c r="F3" s="19">
        <f>SUM(G4:G20)</f>
        <v>44.343304857142854</v>
      </c>
      <c r="G3" s="25">
        <f>F3*E3</f>
        <v>44.343304857142854</v>
      </c>
      <c r="H3" s="4"/>
    </row>
    <row r="4" spans="1:11" ht="19.5" x14ac:dyDescent="0.25">
      <c r="A4" s="3" t="s">
        <v>8</v>
      </c>
      <c r="B4" s="5" t="s">
        <v>9</v>
      </c>
      <c r="C4" s="4" t="s">
        <v>110</v>
      </c>
      <c r="D4" s="4" t="s">
        <v>108</v>
      </c>
      <c r="E4" s="4">
        <v>2</v>
      </c>
      <c r="F4" s="19">
        <f>27*0.5*0.4</f>
        <v>5.4</v>
      </c>
      <c r="G4" s="19">
        <f>E4*F4</f>
        <v>10.8</v>
      </c>
      <c r="H4" s="4" t="s">
        <v>132</v>
      </c>
      <c r="I4" s="2" t="s">
        <v>437</v>
      </c>
      <c r="J4" s="42" t="s">
        <v>314</v>
      </c>
      <c r="K4" s="36" t="s">
        <v>317</v>
      </c>
    </row>
    <row r="5" spans="1:11" ht="19.5" x14ac:dyDescent="0.25">
      <c r="A5" s="3" t="s">
        <v>10</v>
      </c>
      <c r="B5" s="5" t="s">
        <v>11</v>
      </c>
      <c r="C5" s="4" t="s">
        <v>112</v>
      </c>
      <c r="D5" s="4" t="s">
        <v>109</v>
      </c>
      <c r="E5" s="4">
        <v>4</v>
      </c>
      <c r="F5" s="19">
        <f>1.2*0.304</f>
        <v>0.36479999999999996</v>
      </c>
      <c r="G5" s="19">
        <f t="shared" ref="G5:G20" si="0">E5*F5</f>
        <v>1.4591999999999998</v>
      </c>
      <c r="H5" s="4"/>
      <c r="I5" s="2" t="s">
        <v>277</v>
      </c>
    </row>
    <row r="6" spans="1:11" ht="19.5" x14ac:dyDescent="0.25">
      <c r="A6" s="3" t="s">
        <v>12</v>
      </c>
      <c r="B6" s="5" t="s">
        <v>113</v>
      </c>
      <c r="C6" s="4" t="s">
        <v>114</v>
      </c>
      <c r="D6" s="4" t="s">
        <v>115</v>
      </c>
      <c r="E6" s="4">
        <v>2</v>
      </c>
      <c r="F6" s="19">
        <f>1.2*0.5</f>
        <v>0.6</v>
      </c>
      <c r="G6" s="19">
        <f t="shared" si="0"/>
        <v>1.2</v>
      </c>
      <c r="H6" s="4" t="s">
        <v>169</v>
      </c>
      <c r="I6" s="2" t="s">
        <v>277</v>
      </c>
      <c r="J6" s="42" t="s">
        <v>312</v>
      </c>
    </row>
    <row r="7" spans="1:11" ht="19.5" x14ac:dyDescent="0.25">
      <c r="A7" s="3" t="s">
        <v>13</v>
      </c>
      <c r="B7" s="5" t="s">
        <v>307</v>
      </c>
      <c r="C7" s="4" t="s">
        <v>308</v>
      </c>
      <c r="D7" s="4" t="s">
        <v>310</v>
      </c>
      <c r="E7" s="4">
        <v>6</v>
      </c>
      <c r="F7" s="19">
        <f>7/6</f>
        <v>1.1666666666666667</v>
      </c>
      <c r="G7" s="19">
        <f t="shared" si="0"/>
        <v>7</v>
      </c>
      <c r="H7" s="4" t="s">
        <v>119</v>
      </c>
      <c r="I7" s="2" t="s">
        <v>292</v>
      </c>
      <c r="J7" s="42" t="s">
        <v>313</v>
      </c>
    </row>
    <row r="8" spans="1:11" ht="19.5" x14ac:dyDescent="0.25">
      <c r="A8" s="3" t="s">
        <v>14</v>
      </c>
      <c r="B8" s="5" t="s">
        <v>15</v>
      </c>
      <c r="C8" s="4" t="s">
        <v>16</v>
      </c>
      <c r="D8" s="4" t="s">
        <v>120</v>
      </c>
      <c r="E8" s="4">
        <v>6</v>
      </c>
      <c r="F8" s="19">
        <f>6/5</f>
        <v>1.2</v>
      </c>
      <c r="G8" s="19">
        <f t="shared" si="0"/>
        <v>7.1999999999999993</v>
      </c>
      <c r="H8" s="4" t="s">
        <v>121</v>
      </c>
      <c r="I8" s="2" t="s">
        <v>295</v>
      </c>
      <c r="J8" s="42" t="s">
        <v>318</v>
      </c>
    </row>
    <row r="9" spans="1:11" ht="19.5" x14ac:dyDescent="0.25">
      <c r="A9" s="3" t="s">
        <v>17</v>
      </c>
      <c r="B9" s="5" t="s">
        <v>122</v>
      </c>
      <c r="C9" s="4" t="s">
        <v>123</v>
      </c>
      <c r="D9" s="4" t="s">
        <v>124</v>
      </c>
      <c r="E9" s="4">
        <v>3</v>
      </c>
      <c r="F9" s="19">
        <f>26*(0.303*0.102)</f>
        <v>0.80355599999999994</v>
      </c>
      <c r="G9" s="19">
        <f t="shared" si="0"/>
        <v>2.4106679999999998</v>
      </c>
      <c r="H9" s="4" t="s">
        <v>125</v>
      </c>
      <c r="I9" s="2" t="s">
        <v>274</v>
      </c>
      <c r="J9" s="42" t="s">
        <v>311</v>
      </c>
    </row>
    <row r="10" spans="1:11" ht="19.5" x14ac:dyDescent="0.25">
      <c r="A10" s="3" t="s">
        <v>18</v>
      </c>
      <c r="B10" s="5" t="s">
        <v>126</v>
      </c>
      <c r="C10" s="4" t="s">
        <v>127</v>
      </c>
      <c r="D10" s="4" t="s">
        <v>278</v>
      </c>
      <c r="E10" s="4">
        <v>3</v>
      </c>
      <c r="F10" s="19">
        <f>21*(0.25*0.02)</f>
        <v>0.105</v>
      </c>
      <c r="G10" s="19">
        <f t="shared" si="0"/>
        <v>0.315</v>
      </c>
      <c r="H10" s="4" t="s">
        <v>189</v>
      </c>
      <c r="I10" s="2" t="s">
        <v>437</v>
      </c>
    </row>
    <row r="11" spans="1:11" ht="19.5" x14ac:dyDescent="0.25">
      <c r="A11" s="3" t="s">
        <v>20</v>
      </c>
      <c r="B11" s="5" t="s">
        <v>21</v>
      </c>
      <c r="C11" s="4" t="s">
        <v>130</v>
      </c>
      <c r="D11" s="4" t="s">
        <v>128</v>
      </c>
      <c r="E11" s="4">
        <v>1</v>
      </c>
      <c r="F11" s="19"/>
      <c r="G11" s="19"/>
      <c r="H11" s="4" t="s">
        <v>129</v>
      </c>
      <c r="I11" s="18"/>
    </row>
    <row r="12" spans="1:11" ht="19.5" x14ac:dyDescent="0.25">
      <c r="A12" s="3" t="s">
        <v>22</v>
      </c>
      <c r="B12" s="5" t="s">
        <v>23</v>
      </c>
      <c r="C12" s="4" t="s">
        <v>131</v>
      </c>
      <c r="D12" s="4" t="s">
        <v>279</v>
      </c>
      <c r="E12" s="4">
        <v>1</v>
      </c>
      <c r="F12" s="19">
        <f>27*(0.472*0.055)</f>
        <v>0.70091999999999999</v>
      </c>
      <c r="G12" s="19">
        <f t="shared" si="0"/>
        <v>0.70091999999999999</v>
      </c>
      <c r="H12" s="4" t="s">
        <v>133</v>
      </c>
      <c r="I12" s="2" t="s">
        <v>437</v>
      </c>
    </row>
    <row r="13" spans="1:11" ht="19.5" x14ac:dyDescent="0.25">
      <c r="A13" s="3" t="s">
        <v>25</v>
      </c>
      <c r="B13" s="5" t="s">
        <v>26</v>
      </c>
      <c r="C13" s="4" t="s">
        <v>134</v>
      </c>
      <c r="D13" s="4" t="s">
        <v>280</v>
      </c>
      <c r="E13" s="4">
        <v>1</v>
      </c>
      <c r="F13" s="19">
        <f>27*(0.472*0.034)</f>
        <v>0.43329600000000001</v>
      </c>
      <c r="G13" s="19">
        <f t="shared" si="0"/>
        <v>0.43329600000000001</v>
      </c>
      <c r="H13" s="4" t="s">
        <v>135</v>
      </c>
      <c r="I13" s="2" t="s">
        <v>437</v>
      </c>
    </row>
    <row r="14" spans="1:11" ht="19.5" x14ac:dyDescent="0.25">
      <c r="A14" s="3" t="s">
        <v>27</v>
      </c>
      <c r="B14" s="5" t="s">
        <v>239</v>
      </c>
      <c r="C14" s="4" t="s">
        <v>28</v>
      </c>
      <c r="D14" s="4" t="s">
        <v>136</v>
      </c>
      <c r="E14" s="4">
        <v>2</v>
      </c>
      <c r="F14" s="19">
        <v>2.25</v>
      </c>
      <c r="G14" s="19">
        <f t="shared" si="0"/>
        <v>4.5</v>
      </c>
      <c r="H14" s="4" t="s">
        <v>240</v>
      </c>
      <c r="I14" s="2" t="s">
        <v>241</v>
      </c>
      <c r="J14" s="42" t="s">
        <v>319</v>
      </c>
    </row>
    <row r="15" spans="1:11" ht="19.5" x14ac:dyDescent="0.25">
      <c r="A15" s="3" t="s">
        <v>29</v>
      </c>
      <c r="B15" s="5" t="s">
        <v>30</v>
      </c>
      <c r="C15" s="4" t="s">
        <v>31</v>
      </c>
      <c r="D15" s="4" t="s">
        <v>120</v>
      </c>
      <c r="E15" s="4">
        <v>6</v>
      </c>
      <c r="F15" s="19">
        <f>3/10</f>
        <v>0.3</v>
      </c>
      <c r="G15" s="19">
        <f t="shared" si="0"/>
        <v>1.7999999999999998</v>
      </c>
      <c r="H15" s="4"/>
      <c r="I15" s="2" t="s">
        <v>296</v>
      </c>
      <c r="J15" s="42" t="s">
        <v>320</v>
      </c>
    </row>
    <row r="16" spans="1:11" ht="19.5" x14ac:dyDescent="0.25">
      <c r="A16" s="3" t="s">
        <v>32</v>
      </c>
      <c r="B16" s="5" t="s">
        <v>33</v>
      </c>
      <c r="C16" s="4" t="s">
        <v>137</v>
      </c>
      <c r="D16" s="4" t="s">
        <v>138</v>
      </c>
      <c r="E16" s="4">
        <v>3</v>
      </c>
      <c r="F16" s="19">
        <f>21*(0.303*0.102)</f>
        <v>0.64902599999999988</v>
      </c>
      <c r="G16" s="19">
        <f t="shared" si="0"/>
        <v>1.9470779999999996</v>
      </c>
      <c r="H16" s="4" t="s">
        <v>139</v>
      </c>
      <c r="I16" s="2" t="s">
        <v>438</v>
      </c>
      <c r="J16" s="42" t="s">
        <v>315</v>
      </c>
      <c r="K16" s="36" t="s">
        <v>316</v>
      </c>
    </row>
    <row r="17" spans="1:11" ht="19.5" x14ac:dyDescent="0.25">
      <c r="A17" s="3" t="s">
        <v>246</v>
      </c>
      <c r="B17" s="5" t="s">
        <v>47</v>
      </c>
      <c r="C17" s="4" t="s">
        <v>48</v>
      </c>
      <c r="D17" s="4" t="s">
        <v>160</v>
      </c>
      <c r="E17" s="4">
        <v>6</v>
      </c>
      <c r="F17" s="19">
        <f>6/50</f>
        <v>0.12</v>
      </c>
      <c r="G17" s="19">
        <f t="shared" ref="G17" si="1">F17*E17</f>
        <v>0.72</v>
      </c>
      <c r="H17" s="31"/>
      <c r="I17" s="2"/>
      <c r="K17" s="36"/>
    </row>
    <row r="18" spans="1:11" ht="19.5" x14ac:dyDescent="0.25">
      <c r="A18" s="3" t="s">
        <v>255</v>
      </c>
      <c r="B18" s="14" t="s">
        <v>299</v>
      </c>
      <c r="C18" s="15" t="s">
        <v>269</v>
      </c>
      <c r="D18" s="15" t="s">
        <v>339</v>
      </c>
      <c r="E18" s="15">
        <v>5</v>
      </c>
      <c r="F18" s="21">
        <f>6/70</f>
        <v>8.5714285714285715E-2</v>
      </c>
      <c r="G18" s="19">
        <f t="shared" si="0"/>
        <v>0.4285714285714286</v>
      </c>
      <c r="H18" s="15" t="s">
        <v>270</v>
      </c>
      <c r="I18" s="2" t="s">
        <v>300</v>
      </c>
      <c r="J18" s="42" t="s">
        <v>321</v>
      </c>
    </row>
    <row r="19" spans="1:11" ht="19.5" x14ac:dyDescent="0.25">
      <c r="A19" s="3" t="s">
        <v>268</v>
      </c>
      <c r="B19" s="5" t="s">
        <v>256</v>
      </c>
      <c r="C19" s="4" t="s">
        <v>248</v>
      </c>
      <c r="D19" s="4" t="s">
        <v>247</v>
      </c>
      <c r="E19" s="4">
        <v>20</v>
      </c>
      <c r="F19" s="19">
        <f>6/50</f>
        <v>0.12</v>
      </c>
      <c r="G19" s="19">
        <f t="shared" si="0"/>
        <v>2.4</v>
      </c>
      <c r="H19" s="4" t="s">
        <v>254</v>
      </c>
      <c r="I19" s="2" t="s">
        <v>323</v>
      </c>
      <c r="J19" s="42" t="s">
        <v>324</v>
      </c>
    </row>
    <row r="20" spans="1:11" ht="19.5" x14ac:dyDescent="0.25">
      <c r="A20" s="23" t="s">
        <v>366</v>
      </c>
      <c r="B20" s="5" t="s">
        <v>257</v>
      </c>
      <c r="C20" s="4" t="s">
        <v>258</v>
      </c>
      <c r="D20" s="4" t="s">
        <v>259</v>
      </c>
      <c r="E20" s="4">
        <v>9</v>
      </c>
      <c r="F20" s="19">
        <f>8/70</f>
        <v>0.11428571428571428</v>
      </c>
      <c r="G20" s="19">
        <f t="shared" si="0"/>
        <v>1.0285714285714285</v>
      </c>
      <c r="H20" s="4" t="s">
        <v>260</v>
      </c>
      <c r="I20" s="2" t="s">
        <v>301</v>
      </c>
      <c r="J20" s="42" t="s">
        <v>322</v>
      </c>
    </row>
    <row r="21" spans="1:11" ht="19.5" x14ac:dyDescent="0.25">
      <c r="A21" s="58"/>
      <c r="B21" s="59"/>
      <c r="C21" s="59"/>
      <c r="D21" s="59"/>
      <c r="E21" s="59"/>
      <c r="F21" s="59"/>
      <c r="G21" s="59"/>
      <c r="H21" s="60"/>
      <c r="I21" s="2"/>
    </row>
    <row r="22" spans="1:11" ht="24" x14ac:dyDescent="0.25">
      <c r="A22" s="3" t="s">
        <v>34</v>
      </c>
      <c r="B22" s="5" t="s">
        <v>35</v>
      </c>
      <c r="C22" s="4" t="s">
        <v>142</v>
      </c>
      <c r="D22" s="4" t="s">
        <v>143</v>
      </c>
      <c r="E22" s="4">
        <v>2</v>
      </c>
      <c r="F22" s="19">
        <f>SUM(G23:G33)</f>
        <v>17.634391500000003</v>
      </c>
      <c r="G22" s="24">
        <f>E22*F22</f>
        <v>35.268783000000006</v>
      </c>
      <c r="H22" s="4" t="s">
        <v>144</v>
      </c>
    </row>
    <row r="23" spans="1:11" ht="19.5" x14ac:dyDescent="0.25">
      <c r="A23" s="3" t="s">
        <v>36</v>
      </c>
      <c r="B23" s="5" t="s">
        <v>275</v>
      </c>
      <c r="C23" s="4" t="s">
        <v>145</v>
      </c>
      <c r="D23" s="4" t="s">
        <v>146</v>
      </c>
      <c r="E23" s="4">
        <v>2</v>
      </c>
      <c r="F23" s="19">
        <f>27*0.5*0.5/2</f>
        <v>3.375</v>
      </c>
      <c r="G23" s="19">
        <f>F23*E23</f>
        <v>6.75</v>
      </c>
      <c r="H23" s="4" t="s">
        <v>147</v>
      </c>
      <c r="I23" s="2" t="s">
        <v>437</v>
      </c>
    </row>
    <row r="24" spans="1:11" ht="19.5" x14ac:dyDescent="0.25">
      <c r="A24" s="3" t="s">
        <v>37</v>
      </c>
      <c r="B24" s="5" t="s">
        <v>148</v>
      </c>
      <c r="C24" s="4" t="s">
        <v>153</v>
      </c>
      <c r="D24" s="4" t="s">
        <v>115</v>
      </c>
      <c r="E24" s="4">
        <v>1</v>
      </c>
      <c r="F24" s="19">
        <f>1.2*0.5</f>
        <v>0.6</v>
      </c>
      <c r="G24" s="19">
        <f t="shared" ref="G24:G32" si="2">F24*E24</f>
        <v>0.6</v>
      </c>
      <c r="H24" s="4" t="s">
        <v>149</v>
      </c>
      <c r="I24" s="2" t="s">
        <v>277</v>
      </c>
    </row>
    <row r="25" spans="1:11" ht="19.5" x14ac:dyDescent="0.25">
      <c r="A25" s="3" t="s">
        <v>38</v>
      </c>
      <c r="B25" s="5" t="s">
        <v>39</v>
      </c>
      <c r="C25" s="4" t="s">
        <v>150</v>
      </c>
      <c r="D25" s="4" t="s">
        <v>151</v>
      </c>
      <c r="E25" s="4">
        <v>1</v>
      </c>
      <c r="F25" s="19">
        <f>1.2*0.639</f>
        <v>0.76680000000000004</v>
      </c>
      <c r="G25" s="19">
        <f t="shared" si="2"/>
        <v>0.76680000000000004</v>
      </c>
      <c r="H25" s="4" t="s">
        <v>371</v>
      </c>
      <c r="I25" s="2" t="s">
        <v>277</v>
      </c>
    </row>
    <row r="26" spans="1:11" ht="19.5" x14ac:dyDescent="0.25">
      <c r="A26" s="3" t="s">
        <v>40</v>
      </c>
      <c r="B26" s="5" t="s">
        <v>368</v>
      </c>
      <c r="C26" s="4" t="s">
        <v>369</v>
      </c>
      <c r="D26" s="4" t="s">
        <v>370</v>
      </c>
      <c r="E26" s="4">
        <v>1</v>
      </c>
      <c r="F26" s="19">
        <f>1.2*0.54</f>
        <v>0.64800000000000002</v>
      </c>
      <c r="G26" s="19">
        <f>1.2*0.54</f>
        <v>0.64800000000000002</v>
      </c>
      <c r="H26" s="4" t="s">
        <v>372</v>
      </c>
      <c r="I26" s="2"/>
    </row>
    <row r="27" spans="1:11" ht="20.100000000000001" customHeight="1" x14ac:dyDescent="0.25">
      <c r="A27" s="3" t="s">
        <v>41</v>
      </c>
      <c r="B27" s="5" t="s">
        <v>283</v>
      </c>
      <c r="C27" s="4" t="s">
        <v>154</v>
      </c>
      <c r="D27" s="4" t="s">
        <v>152</v>
      </c>
      <c r="E27" s="4">
        <v>1</v>
      </c>
      <c r="F27" s="19">
        <f>1.2*0.452</f>
        <v>0.54239999999999999</v>
      </c>
      <c r="G27" s="19">
        <f t="shared" si="2"/>
        <v>0.54239999999999999</v>
      </c>
      <c r="H27" s="4" t="s">
        <v>155</v>
      </c>
      <c r="I27" s="2" t="s">
        <v>277</v>
      </c>
    </row>
    <row r="28" spans="1:11" ht="19.5" x14ac:dyDescent="0.25">
      <c r="A28" s="3" t="s">
        <v>43</v>
      </c>
      <c r="B28" s="5" t="s">
        <v>42</v>
      </c>
      <c r="C28" s="4" t="s">
        <v>123</v>
      </c>
      <c r="D28" s="4" t="s">
        <v>156</v>
      </c>
      <c r="E28" s="4">
        <v>1</v>
      </c>
      <c r="F28" s="19">
        <f>26*0.383*0.383/2</f>
        <v>1.906957</v>
      </c>
      <c r="G28" s="19">
        <f t="shared" si="2"/>
        <v>1.906957</v>
      </c>
      <c r="H28" s="4" t="s">
        <v>157</v>
      </c>
      <c r="I28" s="2" t="s">
        <v>274</v>
      </c>
    </row>
    <row r="29" spans="1:11" ht="19.5" x14ac:dyDescent="0.25">
      <c r="A29" s="3" t="s">
        <v>45</v>
      </c>
      <c r="B29" s="5" t="s">
        <v>44</v>
      </c>
      <c r="C29" s="4" t="s">
        <v>137</v>
      </c>
      <c r="D29" s="4" t="s">
        <v>442</v>
      </c>
      <c r="E29" s="4">
        <v>1</v>
      </c>
      <c r="F29" s="19">
        <f>21*0.383*0.383/2</f>
        <v>1.5402345</v>
      </c>
      <c r="G29" s="19">
        <f t="shared" si="2"/>
        <v>1.5402345</v>
      </c>
      <c r="H29" s="4" t="s">
        <v>139</v>
      </c>
      <c r="I29" s="2" t="s">
        <v>438</v>
      </c>
    </row>
    <row r="30" spans="1:11" ht="20.100000000000001" customHeight="1" x14ac:dyDescent="0.25">
      <c r="A30" s="3" t="s">
        <v>46</v>
      </c>
      <c r="B30" s="5" t="s">
        <v>306</v>
      </c>
      <c r="C30" s="4" t="s">
        <v>309</v>
      </c>
      <c r="D30" s="4" t="s">
        <v>158</v>
      </c>
      <c r="E30" s="4">
        <v>2</v>
      </c>
      <c r="F30" s="19">
        <f>6/6</f>
        <v>1</v>
      </c>
      <c r="G30" s="19">
        <f t="shared" si="2"/>
        <v>2</v>
      </c>
      <c r="H30" s="4" t="s">
        <v>159</v>
      </c>
      <c r="I30" s="2" t="s">
        <v>292</v>
      </c>
      <c r="J30" s="42" t="s">
        <v>325</v>
      </c>
    </row>
    <row r="31" spans="1:11" ht="20.100000000000001" customHeight="1" x14ac:dyDescent="0.25">
      <c r="A31" s="3" t="s">
        <v>49</v>
      </c>
      <c r="B31" s="5" t="s">
        <v>47</v>
      </c>
      <c r="C31" s="4" t="s">
        <v>48</v>
      </c>
      <c r="D31" s="4" t="s">
        <v>160</v>
      </c>
      <c r="E31" s="4">
        <v>2</v>
      </c>
      <c r="F31" s="19">
        <f>6/50</f>
        <v>0.12</v>
      </c>
      <c r="G31" s="19">
        <f t="shared" si="2"/>
        <v>0.24</v>
      </c>
      <c r="H31" s="4"/>
      <c r="I31" s="2" t="s">
        <v>297</v>
      </c>
      <c r="J31" s="42" t="s">
        <v>324</v>
      </c>
    </row>
    <row r="32" spans="1:11" ht="20.100000000000001" customHeight="1" x14ac:dyDescent="0.25">
      <c r="A32" s="3" t="s">
        <v>250</v>
      </c>
      <c r="B32" s="5" t="s">
        <v>161</v>
      </c>
      <c r="C32" s="4" t="s">
        <v>162</v>
      </c>
      <c r="D32" s="4" t="s">
        <v>120</v>
      </c>
      <c r="E32" s="4">
        <v>2</v>
      </c>
      <c r="F32" s="19">
        <f>6/10</f>
        <v>0.6</v>
      </c>
      <c r="G32" s="19">
        <f t="shared" si="2"/>
        <v>1.2</v>
      </c>
      <c r="H32" s="4" t="s">
        <v>163</v>
      </c>
      <c r="I32" s="2" t="s">
        <v>294</v>
      </c>
      <c r="J32" s="42" t="s">
        <v>326</v>
      </c>
    </row>
    <row r="33" spans="1:11" ht="20.100000000000001" customHeight="1" x14ac:dyDescent="0.25">
      <c r="A33" s="3" t="s">
        <v>367</v>
      </c>
      <c r="B33" s="5" t="s">
        <v>256</v>
      </c>
      <c r="C33" s="4" t="s">
        <v>248</v>
      </c>
      <c r="D33" s="4" t="s">
        <v>247</v>
      </c>
      <c r="E33" s="4">
        <v>12</v>
      </c>
      <c r="F33" s="19">
        <f>6/50</f>
        <v>0.12</v>
      </c>
      <c r="G33" s="19">
        <f>F33*E33</f>
        <v>1.44</v>
      </c>
      <c r="H33" s="4" t="s">
        <v>249</v>
      </c>
      <c r="I33" s="2" t="s">
        <v>298</v>
      </c>
    </row>
    <row r="34" spans="1:11" ht="20.100000000000001" customHeight="1" x14ac:dyDescent="0.25">
      <c r="A34" s="58"/>
      <c r="B34" s="59"/>
      <c r="C34" s="59"/>
      <c r="D34" s="59"/>
      <c r="E34" s="59"/>
      <c r="F34" s="59"/>
      <c r="G34" s="59"/>
      <c r="H34" s="60"/>
      <c r="I34" s="2"/>
    </row>
    <row r="35" spans="1:11" s="13" customFormat="1" ht="19.5" x14ac:dyDescent="0.25">
      <c r="A35" s="10" t="s">
        <v>0</v>
      </c>
      <c r="B35" s="11" t="s">
        <v>1</v>
      </c>
      <c r="C35" s="11" t="s">
        <v>2</v>
      </c>
      <c r="D35" s="11" t="s">
        <v>106</v>
      </c>
      <c r="E35" s="11" t="s">
        <v>3</v>
      </c>
      <c r="F35" s="11" t="s">
        <v>327</v>
      </c>
      <c r="G35" s="11" t="s">
        <v>328</v>
      </c>
      <c r="H35" s="11" t="s">
        <v>111</v>
      </c>
      <c r="I35" s="12" t="s">
        <v>107</v>
      </c>
      <c r="J35" s="41"/>
      <c r="K35" s="41"/>
    </row>
    <row r="36" spans="1:11" ht="20.100000000000001" customHeight="1" x14ac:dyDescent="0.25">
      <c r="A36" s="3" t="s">
        <v>50</v>
      </c>
      <c r="B36" s="5" t="s">
        <v>51</v>
      </c>
      <c r="C36" s="4" t="s">
        <v>164</v>
      </c>
      <c r="D36" s="4" t="s">
        <v>338</v>
      </c>
      <c r="E36" s="4">
        <v>1</v>
      </c>
      <c r="F36" s="19">
        <f>SUM(G37:G53)</f>
        <v>25.707711523809525</v>
      </c>
      <c r="G36" s="24">
        <f>E36*F36</f>
        <v>25.707711523809525</v>
      </c>
      <c r="H36" s="4" t="s">
        <v>165</v>
      </c>
    </row>
    <row r="37" spans="1:11" ht="20.100000000000001" customHeight="1" x14ac:dyDescent="0.25">
      <c r="A37" s="3" t="s">
        <v>52</v>
      </c>
      <c r="B37" s="5" t="s">
        <v>276</v>
      </c>
      <c r="C37" s="4" t="s">
        <v>184</v>
      </c>
      <c r="D37" s="4" t="s">
        <v>166</v>
      </c>
      <c r="E37" s="4">
        <v>2</v>
      </c>
      <c r="F37" s="19">
        <f>27*0.4*0.2</f>
        <v>2.16</v>
      </c>
      <c r="G37" s="19">
        <f>E37*F37</f>
        <v>4.32</v>
      </c>
      <c r="H37" s="4" t="s">
        <v>176</v>
      </c>
      <c r="I37" s="2" t="s">
        <v>437</v>
      </c>
    </row>
    <row r="38" spans="1:11" ht="20.100000000000001" customHeight="1" x14ac:dyDescent="0.25">
      <c r="A38" s="3" t="s">
        <v>53</v>
      </c>
      <c r="B38" s="5" t="s">
        <v>281</v>
      </c>
      <c r="C38" s="4" t="s">
        <v>167</v>
      </c>
      <c r="D38" s="4" t="s">
        <v>168</v>
      </c>
      <c r="E38" s="4">
        <v>2</v>
      </c>
      <c r="F38" s="19">
        <f>1.2*0.2</f>
        <v>0.24</v>
      </c>
      <c r="G38" s="19">
        <f t="shared" ref="G38:G53" si="3">E38*F38</f>
        <v>0.48</v>
      </c>
      <c r="H38" s="4" t="s">
        <v>169</v>
      </c>
      <c r="I38" s="2" t="s">
        <v>277</v>
      </c>
    </row>
    <row r="39" spans="1:11" ht="20.100000000000001" customHeight="1" x14ac:dyDescent="0.25">
      <c r="A39" s="3" t="s">
        <v>54</v>
      </c>
      <c r="B39" s="5" t="s">
        <v>282</v>
      </c>
      <c r="C39" s="4" t="s">
        <v>170</v>
      </c>
      <c r="D39" s="4" t="s">
        <v>109</v>
      </c>
      <c r="E39" s="4">
        <v>2</v>
      </c>
      <c r="F39" s="19">
        <f>1.2*0.304</f>
        <v>0.36479999999999996</v>
      </c>
      <c r="G39" s="19">
        <f t="shared" si="3"/>
        <v>0.72959999999999992</v>
      </c>
      <c r="H39" s="4" t="s">
        <v>171</v>
      </c>
      <c r="I39" s="2" t="s">
        <v>277</v>
      </c>
    </row>
    <row r="40" spans="1:11" ht="20.100000000000001" customHeight="1" x14ac:dyDescent="0.25">
      <c r="A40" s="3" t="s">
        <v>55</v>
      </c>
      <c r="B40" s="5" t="s">
        <v>307</v>
      </c>
      <c r="C40" s="4" t="s">
        <v>308</v>
      </c>
      <c r="D40" s="4" t="s">
        <v>310</v>
      </c>
      <c r="E40" s="4">
        <v>4</v>
      </c>
      <c r="F40" s="19">
        <f>7/6</f>
        <v>1.1666666666666667</v>
      </c>
      <c r="G40" s="19">
        <f t="shared" si="3"/>
        <v>4.666666666666667</v>
      </c>
      <c r="H40" s="4"/>
      <c r="I40" s="2" t="s">
        <v>292</v>
      </c>
    </row>
    <row r="41" spans="1:11" ht="20.100000000000001" customHeight="1" x14ac:dyDescent="0.25">
      <c r="A41" s="3" t="s">
        <v>56</v>
      </c>
      <c r="B41" s="5" t="s">
        <v>15</v>
      </c>
      <c r="C41" s="4" t="s">
        <v>16</v>
      </c>
      <c r="D41" s="4" t="s">
        <v>120</v>
      </c>
      <c r="E41" s="4">
        <v>4</v>
      </c>
      <c r="F41" s="19">
        <f>6/5</f>
        <v>1.2</v>
      </c>
      <c r="G41" s="19">
        <f t="shared" si="3"/>
        <v>4.8</v>
      </c>
      <c r="H41" s="4" t="s">
        <v>121</v>
      </c>
      <c r="I41" s="2" t="s">
        <v>295</v>
      </c>
    </row>
    <row r="42" spans="1:11" ht="20.100000000000001" customHeight="1" x14ac:dyDescent="0.25">
      <c r="A42" s="3" t="s">
        <v>57</v>
      </c>
      <c r="B42" s="5" t="s">
        <v>173</v>
      </c>
      <c r="C42" s="4" t="s">
        <v>123</v>
      </c>
      <c r="D42" s="4" t="s">
        <v>124</v>
      </c>
      <c r="E42" s="4">
        <v>1</v>
      </c>
      <c r="F42" s="19">
        <f>26*0.303*0.102</f>
        <v>0.80355599999999994</v>
      </c>
      <c r="G42" s="19">
        <f t="shared" si="3"/>
        <v>0.80355599999999994</v>
      </c>
      <c r="H42" s="4" t="s">
        <v>125</v>
      </c>
      <c r="I42" s="2" t="s">
        <v>274</v>
      </c>
    </row>
    <row r="43" spans="1:11" ht="20.100000000000001" customHeight="1" x14ac:dyDescent="0.25">
      <c r="A43" s="3" t="s">
        <v>58</v>
      </c>
      <c r="B43" s="5" t="s">
        <v>174</v>
      </c>
      <c r="C43" s="4" t="s">
        <v>175</v>
      </c>
      <c r="D43" s="4" t="s">
        <v>337</v>
      </c>
      <c r="E43" s="4">
        <v>1</v>
      </c>
      <c r="F43" s="19">
        <f>27*0.472*0.2</f>
        <v>2.5488</v>
      </c>
      <c r="G43" s="19">
        <f t="shared" si="3"/>
        <v>2.5488</v>
      </c>
      <c r="H43" s="4" t="s">
        <v>176</v>
      </c>
      <c r="I43" s="2" t="s">
        <v>437</v>
      </c>
    </row>
    <row r="44" spans="1:11" ht="20.100000000000001" customHeight="1" x14ac:dyDescent="0.25">
      <c r="A44" s="3" t="s">
        <v>59</v>
      </c>
      <c r="B44" s="5" t="s">
        <v>60</v>
      </c>
      <c r="C44" s="4" t="s">
        <v>177</v>
      </c>
      <c r="D44" s="4" t="s">
        <v>178</v>
      </c>
      <c r="E44" s="4">
        <v>1</v>
      </c>
      <c r="F44" s="19">
        <f>1.2*0.06</f>
        <v>7.1999999999999995E-2</v>
      </c>
      <c r="G44" s="19">
        <f t="shared" si="3"/>
        <v>7.1999999999999995E-2</v>
      </c>
      <c r="H44" s="4" t="s">
        <v>179</v>
      </c>
      <c r="I44" s="2" t="s">
        <v>277</v>
      </c>
    </row>
    <row r="45" spans="1:11" ht="20.100000000000001" customHeight="1" x14ac:dyDescent="0.25">
      <c r="A45" s="3" t="s">
        <v>61</v>
      </c>
      <c r="B45" s="5" t="s">
        <v>23</v>
      </c>
      <c r="C45" s="4" t="s">
        <v>24</v>
      </c>
      <c r="D45" s="4" t="s">
        <v>279</v>
      </c>
      <c r="E45" s="4">
        <v>1</v>
      </c>
      <c r="F45" s="19">
        <f>27*0.472*0.055</f>
        <v>0.70091999999999999</v>
      </c>
      <c r="G45" s="19">
        <f t="shared" si="3"/>
        <v>0.70091999999999999</v>
      </c>
      <c r="H45" s="4" t="s">
        <v>180</v>
      </c>
      <c r="I45" s="2" t="s">
        <v>437</v>
      </c>
    </row>
    <row r="46" spans="1:11" ht="20.100000000000001" customHeight="1" x14ac:dyDescent="0.25">
      <c r="A46" s="3" t="s">
        <v>62</v>
      </c>
      <c r="B46" s="5" t="s">
        <v>30</v>
      </c>
      <c r="C46" s="4" t="s">
        <v>31</v>
      </c>
      <c r="D46" s="4" t="s">
        <v>120</v>
      </c>
      <c r="E46" s="4">
        <v>4</v>
      </c>
      <c r="F46" s="19">
        <f>3/10</f>
        <v>0.3</v>
      </c>
      <c r="G46" s="19">
        <f t="shared" si="3"/>
        <v>1.2</v>
      </c>
      <c r="H46" s="4"/>
      <c r="I46" s="2" t="s">
        <v>296</v>
      </c>
    </row>
    <row r="47" spans="1:11" ht="20.100000000000001" customHeight="1" x14ac:dyDescent="0.25">
      <c r="A47" s="3" t="s">
        <v>63</v>
      </c>
      <c r="B47" s="5" t="s">
        <v>64</v>
      </c>
      <c r="C47" s="4" t="s">
        <v>137</v>
      </c>
      <c r="D47" s="4" t="s">
        <v>138</v>
      </c>
      <c r="E47" s="4">
        <v>1</v>
      </c>
      <c r="F47" s="19">
        <f>21*0.303*0.102</f>
        <v>0.64902599999999988</v>
      </c>
      <c r="G47" s="19">
        <f t="shared" si="3"/>
        <v>0.64902599999999988</v>
      </c>
      <c r="H47" s="4" t="s">
        <v>139</v>
      </c>
      <c r="I47" s="2" t="s">
        <v>438</v>
      </c>
    </row>
    <row r="48" spans="1:11" ht="20.100000000000001" customHeight="1" x14ac:dyDescent="0.25">
      <c r="A48" s="3" t="s">
        <v>65</v>
      </c>
      <c r="B48" s="5" t="s">
        <v>306</v>
      </c>
      <c r="C48" s="4" t="s">
        <v>309</v>
      </c>
      <c r="D48" s="4" t="s">
        <v>158</v>
      </c>
      <c r="E48" s="4">
        <v>1</v>
      </c>
      <c r="F48" s="19">
        <f>6/6</f>
        <v>1</v>
      </c>
      <c r="G48" s="19">
        <f t="shared" si="3"/>
        <v>1</v>
      </c>
      <c r="H48" s="4" t="s">
        <v>293</v>
      </c>
      <c r="I48" s="2" t="s">
        <v>292</v>
      </c>
    </row>
    <row r="49" spans="1:10" ht="20.100000000000001" customHeight="1" x14ac:dyDescent="0.25">
      <c r="A49" s="3" t="s">
        <v>66</v>
      </c>
      <c r="B49" s="5" t="s">
        <v>47</v>
      </c>
      <c r="C49" s="4" t="s">
        <v>48</v>
      </c>
      <c r="D49" s="4" t="s">
        <v>160</v>
      </c>
      <c r="E49" s="4">
        <v>1</v>
      </c>
      <c r="F49" s="19">
        <f>F31</f>
        <v>0.12</v>
      </c>
      <c r="G49" s="19">
        <f t="shared" si="3"/>
        <v>0.12</v>
      </c>
      <c r="H49" s="4"/>
      <c r="I49" s="2" t="s">
        <v>297</v>
      </c>
    </row>
    <row r="50" spans="1:10" ht="20.100000000000001" customHeight="1" x14ac:dyDescent="0.25">
      <c r="A50" s="6" t="s">
        <v>172</v>
      </c>
      <c r="B50" s="5" t="s">
        <v>67</v>
      </c>
      <c r="C50" s="4" t="s">
        <v>162</v>
      </c>
      <c r="D50" s="4" t="s">
        <v>120</v>
      </c>
      <c r="E50" s="4">
        <v>1</v>
      </c>
      <c r="F50" s="19">
        <f>F32</f>
        <v>0.6</v>
      </c>
      <c r="G50" s="19">
        <f t="shared" si="3"/>
        <v>0.6</v>
      </c>
      <c r="H50" s="4"/>
      <c r="I50" s="2" t="s">
        <v>294</v>
      </c>
    </row>
    <row r="51" spans="1:10" ht="19.5" x14ac:dyDescent="0.25">
      <c r="A51" s="23" t="s">
        <v>251</v>
      </c>
      <c r="B51" s="5" t="s">
        <v>47</v>
      </c>
      <c r="C51" s="4" t="s">
        <v>48</v>
      </c>
      <c r="D51" s="4" t="s">
        <v>160</v>
      </c>
      <c r="E51" s="4">
        <v>4</v>
      </c>
      <c r="F51" s="19">
        <f>6/50</f>
        <v>0.12</v>
      </c>
      <c r="G51" s="19">
        <f t="shared" ref="G51" si="4">F51*E51</f>
        <v>0.48</v>
      </c>
      <c r="H51" s="31"/>
      <c r="I51" s="2"/>
    </row>
    <row r="52" spans="1:10" ht="20.100000000000001" customHeight="1" x14ac:dyDescent="0.25">
      <c r="A52" s="3" t="s">
        <v>271</v>
      </c>
      <c r="B52" s="5" t="s">
        <v>299</v>
      </c>
      <c r="C52" s="15" t="s">
        <v>269</v>
      </c>
      <c r="D52" s="15" t="s">
        <v>339</v>
      </c>
      <c r="E52" s="15">
        <v>3</v>
      </c>
      <c r="F52" s="21">
        <f>F18</f>
        <v>8.5714285714285715E-2</v>
      </c>
      <c r="G52" s="19">
        <f t="shared" si="3"/>
        <v>0.25714285714285712</v>
      </c>
      <c r="H52" s="15" t="s">
        <v>270</v>
      </c>
      <c r="I52" s="2" t="s">
        <v>300</v>
      </c>
    </row>
    <row r="53" spans="1:10" ht="20.100000000000001" customHeight="1" x14ac:dyDescent="0.25">
      <c r="A53" s="6" t="s">
        <v>365</v>
      </c>
      <c r="B53" s="5" t="s">
        <v>256</v>
      </c>
      <c r="C53" s="4" t="s">
        <v>248</v>
      </c>
      <c r="D53" s="4" t="s">
        <v>247</v>
      </c>
      <c r="E53" s="4">
        <v>19</v>
      </c>
      <c r="F53" s="19">
        <f>F19</f>
        <v>0.12</v>
      </c>
      <c r="G53" s="19">
        <f t="shared" si="3"/>
        <v>2.2799999999999998</v>
      </c>
      <c r="H53" s="4" t="s">
        <v>249</v>
      </c>
      <c r="I53" s="2" t="s">
        <v>298</v>
      </c>
    </row>
    <row r="54" spans="1:10" ht="20.100000000000001" customHeight="1" x14ac:dyDescent="0.25">
      <c r="A54" s="61"/>
      <c r="B54" s="62"/>
      <c r="C54" s="62"/>
      <c r="D54" s="62"/>
      <c r="E54" s="62"/>
      <c r="F54" s="62"/>
      <c r="G54" s="62"/>
      <c r="H54" s="63"/>
      <c r="I54" s="2"/>
    </row>
    <row r="55" spans="1:10" ht="20.100000000000001" customHeight="1" x14ac:dyDescent="0.25">
      <c r="A55" s="3" t="s">
        <v>68</v>
      </c>
      <c r="B55" s="5" t="s">
        <v>69</v>
      </c>
      <c r="C55" s="4" t="s">
        <v>183</v>
      </c>
      <c r="D55" s="4" t="s">
        <v>285</v>
      </c>
      <c r="E55" s="4">
        <v>1</v>
      </c>
      <c r="F55" s="19">
        <f>SUM(G56:G66)</f>
        <v>22.195334428571432</v>
      </c>
      <c r="G55" s="24">
        <f>E55*F55</f>
        <v>22.195334428571432</v>
      </c>
      <c r="H55" s="4"/>
    </row>
    <row r="56" spans="1:10" ht="20.100000000000001" customHeight="1" x14ac:dyDescent="0.25">
      <c r="A56" s="3" t="s">
        <v>70</v>
      </c>
      <c r="B56" s="5" t="s">
        <v>71</v>
      </c>
      <c r="C56" s="4" t="s">
        <v>185</v>
      </c>
      <c r="D56" s="4" t="s">
        <v>284</v>
      </c>
      <c r="E56" s="4">
        <v>1</v>
      </c>
      <c r="F56" s="19">
        <f>27*0.472*0.27</f>
        <v>3.4408800000000004</v>
      </c>
      <c r="G56" s="19">
        <f>E56*F56</f>
        <v>3.4408800000000004</v>
      </c>
      <c r="H56" s="4" t="s">
        <v>187</v>
      </c>
      <c r="I56" s="2" t="s">
        <v>437</v>
      </c>
    </row>
    <row r="57" spans="1:10" ht="20.100000000000001" customHeight="1" x14ac:dyDescent="0.25">
      <c r="A57" s="3" t="s">
        <v>72</v>
      </c>
      <c r="B57" s="5" t="s">
        <v>331</v>
      </c>
      <c r="C57" s="4" t="s">
        <v>186</v>
      </c>
      <c r="D57" s="4" t="s">
        <v>252</v>
      </c>
      <c r="E57" s="4">
        <v>2</v>
      </c>
      <c r="F57" s="19">
        <f>27*0.4*0.26</f>
        <v>2.8080000000000003</v>
      </c>
      <c r="G57" s="19">
        <f t="shared" ref="G57:G66" si="5">E57*F57</f>
        <v>5.6160000000000005</v>
      </c>
      <c r="H57" s="4" t="s">
        <v>188</v>
      </c>
      <c r="I57" s="2" t="s">
        <v>437</v>
      </c>
    </row>
    <row r="58" spans="1:10" ht="20.100000000000001" customHeight="1" x14ac:dyDescent="0.25">
      <c r="A58" s="3" t="s">
        <v>73</v>
      </c>
      <c r="B58" s="5" t="s">
        <v>330</v>
      </c>
      <c r="C58" s="4" t="s">
        <v>191</v>
      </c>
      <c r="D58" s="4" t="s">
        <v>190</v>
      </c>
      <c r="E58" s="4">
        <v>2</v>
      </c>
      <c r="F58" s="19">
        <f>1.2*0.26</f>
        <v>0.312</v>
      </c>
      <c r="G58" s="19">
        <f t="shared" si="5"/>
        <v>0.624</v>
      </c>
      <c r="H58" s="4"/>
      <c r="I58" s="2" t="s">
        <v>277</v>
      </c>
    </row>
    <row r="59" spans="1:10" ht="20.100000000000001" customHeight="1" x14ac:dyDescent="0.25">
      <c r="A59" s="3" t="s">
        <v>74</v>
      </c>
      <c r="B59" s="5" t="s">
        <v>11</v>
      </c>
      <c r="C59" s="4" t="s">
        <v>192</v>
      </c>
      <c r="D59" s="4" t="s">
        <v>109</v>
      </c>
      <c r="E59" s="4">
        <v>2</v>
      </c>
      <c r="F59" s="19">
        <f>1.2*0.304</f>
        <v>0.36479999999999996</v>
      </c>
      <c r="G59" s="19">
        <f t="shared" si="5"/>
        <v>0.72959999999999992</v>
      </c>
      <c r="H59" s="4"/>
      <c r="I59" s="2" t="s">
        <v>277</v>
      </c>
    </row>
    <row r="60" spans="1:10" ht="20.100000000000001" customHeight="1" x14ac:dyDescent="0.25">
      <c r="A60" s="3" t="s">
        <v>75</v>
      </c>
      <c r="B60" s="5" t="s">
        <v>329</v>
      </c>
      <c r="C60" s="4" t="s">
        <v>123</v>
      </c>
      <c r="D60" s="4" t="s">
        <v>193</v>
      </c>
      <c r="E60" s="4">
        <v>1</v>
      </c>
      <c r="F60" s="19">
        <f>26*0.303*0.163</f>
        <v>1.284114</v>
      </c>
      <c r="G60" s="19">
        <f t="shared" si="5"/>
        <v>1.284114</v>
      </c>
      <c r="H60" s="4" t="s">
        <v>125</v>
      </c>
      <c r="I60" s="2" t="s">
        <v>274</v>
      </c>
    </row>
    <row r="61" spans="1:10" ht="20.100000000000001" customHeight="1" x14ac:dyDescent="0.25">
      <c r="A61" s="3" t="s">
        <v>77</v>
      </c>
      <c r="B61" s="5" t="s">
        <v>332</v>
      </c>
      <c r="C61" s="4" t="s">
        <v>137</v>
      </c>
      <c r="D61" s="4" t="s">
        <v>194</v>
      </c>
      <c r="E61" s="4">
        <v>1</v>
      </c>
      <c r="F61" s="19">
        <f>21*0.303*0.163</f>
        <v>1.037169</v>
      </c>
      <c r="G61" s="19">
        <f t="shared" si="5"/>
        <v>1.037169</v>
      </c>
      <c r="H61" s="4" t="s">
        <v>139</v>
      </c>
      <c r="I61" s="2" t="s">
        <v>438</v>
      </c>
    </row>
    <row r="62" spans="1:10" ht="20.100000000000001" customHeight="1" x14ac:dyDescent="0.25">
      <c r="A62" s="3" t="s">
        <v>261</v>
      </c>
      <c r="B62" s="5" t="s">
        <v>21</v>
      </c>
      <c r="C62" s="4" t="s">
        <v>130</v>
      </c>
      <c r="D62" s="4" t="s">
        <v>128</v>
      </c>
      <c r="E62" s="4">
        <v>1</v>
      </c>
      <c r="F62" s="19"/>
      <c r="G62" s="19"/>
      <c r="H62" s="4" t="s">
        <v>195</v>
      </c>
      <c r="I62" s="18"/>
    </row>
    <row r="63" spans="1:10" ht="20.100000000000001" customHeight="1" x14ac:dyDescent="0.25">
      <c r="A63" s="3" t="s">
        <v>333</v>
      </c>
      <c r="B63" s="5" t="s">
        <v>19</v>
      </c>
      <c r="C63" s="4" t="s">
        <v>127</v>
      </c>
      <c r="D63" s="4" t="s">
        <v>278</v>
      </c>
      <c r="E63" s="4">
        <v>3</v>
      </c>
      <c r="F63" s="19">
        <f>21*0.25*0.02</f>
        <v>0.105</v>
      </c>
      <c r="G63" s="19">
        <f t="shared" si="5"/>
        <v>0.315</v>
      </c>
      <c r="H63" s="4" t="s">
        <v>196</v>
      </c>
      <c r="I63" s="2" t="s">
        <v>438</v>
      </c>
    </row>
    <row r="64" spans="1:10" ht="20.100000000000001" customHeight="1" x14ac:dyDescent="0.25">
      <c r="A64" s="3" t="s">
        <v>334</v>
      </c>
      <c r="B64" s="5" t="s">
        <v>76</v>
      </c>
      <c r="C64" s="4" t="s">
        <v>197</v>
      </c>
      <c r="D64" s="4" t="s">
        <v>340</v>
      </c>
      <c r="E64" s="4">
        <v>1</v>
      </c>
      <c r="F64" s="19">
        <v>6.2</v>
      </c>
      <c r="G64" s="19">
        <f t="shared" si="5"/>
        <v>6.2</v>
      </c>
      <c r="H64" s="4" t="s">
        <v>198</v>
      </c>
      <c r="I64" s="2" t="s">
        <v>303</v>
      </c>
      <c r="J64" s="42" t="s">
        <v>341</v>
      </c>
    </row>
    <row r="65" spans="1:11" ht="20.100000000000001" customHeight="1" x14ac:dyDescent="0.25">
      <c r="A65" s="3" t="s">
        <v>335</v>
      </c>
      <c r="B65" s="5" t="s">
        <v>256</v>
      </c>
      <c r="C65" s="4" t="s">
        <v>248</v>
      </c>
      <c r="D65" s="4" t="s">
        <v>247</v>
      </c>
      <c r="E65" s="4">
        <v>16</v>
      </c>
      <c r="F65" s="19">
        <f>F53</f>
        <v>0.12</v>
      </c>
      <c r="G65" s="19">
        <f t="shared" si="5"/>
        <v>1.92</v>
      </c>
      <c r="H65" s="4" t="s">
        <v>249</v>
      </c>
      <c r="I65" s="2" t="s">
        <v>298</v>
      </c>
    </row>
    <row r="66" spans="1:11" ht="20.100000000000001" customHeight="1" x14ac:dyDescent="0.25">
      <c r="A66" s="3" t="s">
        <v>336</v>
      </c>
      <c r="B66" s="5" t="s">
        <v>257</v>
      </c>
      <c r="C66" s="4" t="s">
        <v>258</v>
      </c>
      <c r="D66" s="4" t="s">
        <v>259</v>
      </c>
      <c r="E66" s="4">
        <v>9</v>
      </c>
      <c r="F66" s="19">
        <f>F20</f>
        <v>0.11428571428571428</v>
      </c>
      <c r="G66" s="19">
        <f t="shared" si="5"/>
        <v>1.0285714285714285</v>
      </c>
      <c r="H66" s="4" t="s">
        <v>260</v>
      </c>
      <c r="I66" s="2" t="s">
        <v>301</v>
      </c>
    </row>
    <row r="67" spans="1:11" ht="20.100000000000001" customHeight="1" x14ac:dyDescent="0.25">
      <c r="A67" s="58"/>
      <c r="B67" s="59"/>
      <c r="C67" s="59"/>
      <c r="D67" s="59"/>
      <c r="E67" s="59"/>
      <c r="F67" s="59"/>
      <c r="G67" s="59"/>
      <c r="H67" s="60"/>
      <c r="I67" s="2"/>
    </row>
    <row r="68" spans="1:11" ht="20.100000000000001" customHeight="1" x14ac:dyDescent="0.45">
      <c r="A68" s="17" t="s">
        <v>243</v>
      </c>
      <c r="B68" s="14" t="s">
        <v>416</v>
      </c>
      <c r="C68" s="15" t="s">
        <v>417</v>
      </c>
      <c r="D68" s="16" t="s">
        <v>418</v>
      </c>
      <c r="E68" s="15">
        <v>1</v>
      </c>
      <c r="F68" s="21">
        <v>42</v>
      </c>
      <c r="G68" s="26">
        <v>42</v>
      </c>
      <c r="H68" s="9" t="s">
        <v>272</v>
      </c>
      <c r="I68" s="2" t="s">
        <v>419</v>
      </c>
    </row>
    <row r="69" spans="1:11" ht="20.100000000000001" customHeight="1" x14ac:dyDescent="0.25">
      <c r="A69" s="3" t="s">
        <v>352</v>
      </c>
      <c r="B69" s="5" t="s">
        <v>244</v>
      </c>
      <c r="C69" s="4" t="s">
        <v>245</v>
      </c>
      <c r="D69" s="4" t="s">
        <v>290</v>
      </c>
      <c r="E69" s="4">
        <v>1</v>
      </c>
      <c r="F69" s="19">
        <v>25</v>
      </c>
      <c r="G69" s="24">
        <f>E69*F69</f>
        <v>25</v>
      </c>
      <c r="H69" s="4" t="s">
        <v>291</v>
      </c>
      <c r="I69" s="2" t="s">
        <v>273</v>
      </c>
    </row>
    <row r="70" spans="1:11" ht="20.100000000000001" customHeight="1" x14ac:dyDescent="0.25">
      <c r="A70" s="58"/>
      <c r="B70" s="59"/>
      <c r="C70" s="59"/>
      <c r="D70" s="59"/>
      <c r="E70" s="59"/>
      <c r="F70" s="59"/>
      <c r="G70" s="59"/>
      <c r="H70" s="60"/>
      <c r="I70" s="2"/>
    </row>
    <row r="71" spans="1:11" s="13" customFormat="1" ht="19.5" x14ac:dyDescent="0.25">
      <c r="A71" s="10" t="s">
        <v>0</v>
      </c>
      <c r="B71" s="11" t="s">
        <v>1</v>
      </c>
      <c r="C71" s="11" t="s">
        <v>2</v>
      </c>
      <c r="D71" s="11" t="s">
        <v>106</v>
      </c>
      <c r="E71" s="11" t="s">
        <v>3</v>
      </c>
      <c r="F71" s="11" t="s">
        <v>327</v>
      </c>
      <c r="G71" s="11" t="s">
        <v>328</v>
      </c>
      <c r="H71" s="11" t="s">
        <v>111</v>
      </c>
      <c r="I71" s="12" t="s">
        <v>107</v>
      </c>
      <c r="J71" s="41"/>
      <c r="K71" s="41"/>
    </row>
    <row r="72" spans="1:11" ht="20.100000000000001" customHeight="1" x14ac:dyDescent="0.25">
      <c r="A72" s="3" t="s">
        <v>78</v>
      </c>
      <c r="B72" s="5" t="s">
        <v>79</v>
      </c>
      <c r="C72" s="4" t="s">
        <v>182</v>
      </c>
      <c r="D72" s="4" t="s">
        <v>199</v>
      </c>
      <c r="E72" s="4">
        <v>1</v>
      </c>
      <c r="F72" s="64">
        <f>G75+G74+G78+G85+G92+G99+G106</f>
        <v>66.963433333333342</v>
      </c>
      <c r="G72" s="65"/>
      <c r="H72" s="4"/>
    </row>
    <row r="73" spans="1:11" ht="20.100000000000001" customHeight="1" x14ac:dyDescent="0.25">
      <c r="A73" s="3" t="s">
        <v>80</v>
      </c>
      <c r="B73" s="5" t="s">
        <v>354</v>
      </c>
      <c r="C73" s="4" t="s">
        <v>355</v>
      </c>
      <c r="D73" s="4" t="s">
        <v>356</v>
      </c>
      <c r="E73" s="4">
        <v>1</v>
      </c>
      <c r="F73" s="28"/>
      <c r="G73" s="29"/>
      <c r="H73" s="4"/>
    </row>
    <row r="74" spans="1:11" ht="20.100000000000001" customHeight="1" x14ac:dyDescent="0.25">
      <c r="A74" s="3" t="s">
        <v>357</v>
      </c>
      <c r="B74" s="5" t="s">
        <v>231</v>
      </c>
      <c r="C74" s="4" t="s">
        <v>202</v>
      </c>
      <c r="D74" s="4" t="s">
        <v>200</v>
      </c>
      <c r="E74" s="4">
        <v>2</v>
      </c>
      <c r="F74" s="19">
        <f>1.2*0.518</f>
        <v>0.62160000000000004</v>
      </c>
      <c r="G74" s="19">
        <f>E74*F74</f>
        <v>1.2432000000000001</v>
      </c>
      <c r="H74" s="4" t="s">
        <v>201</v>
      </c>
      <c r="I74" s="2" t="s">
        <v>277</v>
      </c>
    </row>
    <row r="75" spans="1:11" ht="19.5" customHeight="1" x14ac:dyDescent="0.25">
      <c r="A75" s="3" t="s">
        <v>358</v>
      </c>
      <c r="B75" s="5" t="s">
        <v>82</v>
      </c>
      <c r="C75" s="4" t="s">
        <v>203</v>
      </c>
      <c r="D75" s="4" t="s">
        <v>204</v>
      </c>
      <c r="E75" s="4">
        <v>2</v>
      </c>
      <c r="F75" s="19">
        <f>1.2*0.68</f>
        <v>0.81600000000000006</v>
      </c>
      <c r="G75" s="19">
        <f>E75*F75</f>
        <v>1.6320000000000001</v>
      </c>
      <c r="H75" s="4" t="s">
        <v>495</v>
      </c>
      <c r="I75" s="2" t="s">
        <v>277</v>
      </c>
    </row>
    <row r="76" spans="1:11" ht="19.5" x14ac:dyDescent="0.25">
      <c r="A76" s="30" t="s">
        <v>393</v>
      </c>
      <c r="B76" s="5" t="s">
        <v>394</v>
      </c>
      <c r="C76" s="4" t="s">
        <v>263</v>
      </c>
      <c r="D76" s="7" t="s">
        <v>264</v>
      </c>
      <c r="E76" s="4">
        <v>8</v>
      </c>
      <c r="F76" s="19">
        <f>9/50</f>
        <v>0.18</v>
      </c>
      <c r="G76" s="19">
        <f>E76*F76</f>
        <v>1.44</v>
      </c>
      <c r="H76" s="7" t="s">
        <v>265</v>
      </c>
      <c r="I76" s="2"/>
    </row>
    <row r="77" spans="1:11" ht="20.100000000000001" customHeight="1" x14ac:dyDescent="0.25">
      <c r="A77" s="58"/>
      <c r="B77" s="59"/>
      <c r="C77" s="59"/>
      <c r="D77" s="59"/>
      <c r="E77" s="59"/>
      <c r="F77" s="59"/>
      <c r="G77" s="59"/>
      <c r="H77" s="60"/>
      <c r="I77" s="2"/>
    </row>
    <row r="78" spans="1:11" ht="20.100000000000001" customHeight="1" x14ac:dyDescent="0.25">
      <c r="A78" s="3" t="s">
        <v>81</v>
      </c>
      <c r="B78" s="5" t="s">
        <v>84</v>
      </c>
      <c r="C78" s="4" t="s">
        <v>205</v>
      </c>
      <c r="D78" s="4" t="s">
        <v>206</v>
      </c>
      <c r="E78" s="34">
        <v>1</v>
      </c>
      <c r="F78" s="19">
        <f>SUM(G79:G81)</f>
        <v>12.35988</v>
      </c>
      <c r="G78" s="24">
        <f>F78*E78</f>
        <v>12.35988</v>
      </c>
      <c r="H78" s="4"/>
    </row>
    <row r="79" spans="1:11" ht="19.5" x14ac:dyDescent="0.25">
      <c r="A79" s="3" t="s">
        <v>359</v>
      </c>
      <c r="B79" s="5" t="s">
        <v>435</v>
      </c>
      <c r="C79" s="4" t="s">
        <v>207</v>
      </c>
      <c r="D79" s="4" t="s">
        <v>424</v>
      </c>
      <c r="E79" s="34">
        <v>1</v>
      </c>
      <c r="F79" s="19">
        <f>36*0.678*0.435</f>
        <v>10.61748</v>
      </c>
      <c r="G79" s="19">
        <f>F79*E79</f>
        <v>10.61748</v>
      </c>
      <c r="H79" s="4" t="s">
        <v>494</v>
      </c>
      <c r="I79" s="2" t="s">
        <v>413</v>
      </c>
    </row>
    <row r="80" spans="1:11" ht="20.100000000000001" customHeight="1" x14ac:dyDescent="0.25">
      <c r="A80" s="3" t="s">
        <v>360</v>
      </c>
      <c r="B80" s="5" t="s">
        <v>215</v>
      </c>
      <c r="C80" s="4" t="s">
        <v>210</v>
      </c>
      <c r="D80" s="4" t="s">
        <v>208</v>
      </c>
      <c r="E80" s="34">
        <v>2</v>
      </c>
      <c r="F80" s="19">
        <f>1.2*0.435</f>
        <v>0.52200000000000002</v>
      </c>
      <c r="G80" s="19">
        <f t="shared" ref="G80:G83" si="6">F80*E80</f>
        <v>1.044</v>
      </c>
      <c r="H80" s="4"/>
      <c r="I80" s="2" t="s">
        <v>277</v>
      </c>
    </row>
    <row r="81" spans="1:9" ht="20.100000000000001" customHeight="1" x14ac:dyDescent="0.25">
      <c r="A81" s="3" t="s">
        <v>397</v>
      </c>
      <c r="B81" s="5" t="s">
        <v>88</v>
      </c>
      <c r="C81" s="4" t="s">
        <v>211</v>
      </c>
      <c r="D81" s="4" t="s">
        <v>209</v>
      </c>
      <c r="E81" s="34">
        <v>1</v>
      </c>
      <c r="F81" s="19">
        <f>1.2*0.582</f>
        <v>0.69839999999999991</v>
      </c>
      <c r="G81" s="19">
        <f t="shared" si="6"/>
        <v>0.69839999999999991</v>
      </c>
      <c r="H81" s="4"/>
      <c r="I81" s="2" t="s">
        <v>277</v>
      </c>
    </row>
    <row r="82" spans="1:9" ht="20.100000000000001" customHeight="1" x14ac:dyDescent="0.25">
      <c r="A82" s="30" t="s">
        <v>398</v>
      </c>
      <c r="B82" s="5" t="s">
        <v>350</v>
      </c>
      <c r="C82" s="4" t="s">
        <v>262</v>
      </c>
      <c r="D82" s="7" t="s">
        <v>247</v>
      </c>
      <c r="E82" s="33">
        <v>16</v>
      </c>
      <c r="F82" s="19">
        <v>0.12</v>
      </c>
      <c r="G82" s="19">
        <f t="shared" si="6"/>
        <v>1.92</v>
      </c>
      <c r="H82" s="4"/>
      <c r="I82" s="2"/>
    </row>
    <row r="83" spans="1:9" ht="20.100000000000001" customHeight="1" x14ac:dyDescent="0.45">
      <c r="A83" s="30" t="s">
        <v>399</v>
      </c>
      <c r="B83" s="5" t="s">
        <v>351</v>
      </c>
      <c r="C83" s="4" t="s">
        <v>242</v>
      </c>
      <c r="D83" s="9" t="s">
        <v>304</v>
      </c>
      <c r="E83" s="33">
        <v>1</v>
      </c>
      <c r="F83" s="19">
        <v>4</v>
      </c>
      <c r="G83" s="19">
        <f t="shared" si="6"/>
        <v>4</v>
      </c>
      <c r="H83" s="4"/>
      <c r="I83" s="2"/>
    </row>
    <row r="84" spans="1:9" ht="20.100000000000001" customHeight="1" x14ac:dyDescent="0.25">
      <c r="A84" s="58"/>
      <c r="B84" s="59"/>
      <c r="C84" s="59"/>
      <c r="D84" s="59"/>
      <c r="E84" s="59"/>
      <c r="F84" s="59"/>
      <c r="G84" s="59"/>
      <c r="H84" s="60"/>
      <c r="I84" s="2"/>
    </row>
    <row r="85" spans="1:9" ht="20.100000000000001" customHeight="1" x14ac:dyDescent="0.25">
      <c r="A85" s="3" t="s">
        <v>83</v>
      </c>
      <c r="B85" s="5" t="s">
        <v>90</v>
      </c>
      <c r="C85" s="4" t="s">
        <v>212</v>
      </c>
      <c r="D85" s="4" t="s">
        <v>288</v>
      </c>
      <c r="E85" s="4">
        <v>1</v>
      </c>
      <c r="F85" s="19">
        <f>SUM(G86:G88)</f>
        <v>10.209720000000001</v>
      </c>
      <c r="G85" s="24">
        <f t="shared" ref="G85:G90" si="7">F85*E85</f>
        <v>10.209720000000001</v>
      </c>
      <c r="H85" s="4"/>
    </row>
    <row r="86" spans="1:9" ht="19.5" x14ac:dyDescent="0.25">
      <c r="A86" s="3" t="s">
        <v>85</v>
      </c>
      <c r="B86" s="5" t="s">
        <v>434</v>
      </c>
      <c r="C86" s="4" t="s">
        <v>213</v>
      </c>
      <c r="D86" s="4" t="s">
        <v>425</v>
      </c>
      <c r="E86" s="4">
        <v>1</v>
      </c>
      <c r="F86" s="19">
        <f>36*0.578*0.415</f>
        <v>8.6353200000000001</v>
      </c>
      <c r="G86" s="19">
        <f t="shared" si="7"/>
        <v>8.6353200000000001</v>
      </c>
      <c r="H86" s="4" t="s">
        <v>494</v>
      </c>
      <c r="I86" s="2" t="s">
        <v>413</v>
      </c>
    </row>
    <row r="87" spans="1:9" ht="20.100000000000001" customHeight="1" x14ac:dyDescent="0.25">
      <c r="A87" s="3" t="s">
        <v>86</v>
      </c>
      <c r="B87" s="5" t="s">
        <v>214</v>
      </c>
      <c r="C87" s="4" t="s">
        <v>216</v>
      </c>
      <c r="D87" s="4" t="s">
        <v>218</v>
      </c>
      <c r="E87" s="4">
        <v>2</v>
      </c>
      <c r="F87" s="19">
        <f>1.2*0.415</f>
        <v>0.49799999999999994</v>
      </c>
      <c r="G87" s="19">
        <f t="shared" si="7"/>
        <v>0.99599999999999989</v>
      </c>
      <c r="H87" s="4"/>
      <c r="I87" s="2" t="s">
        <v>277</v>
      </c>
    </row>
    <row r="88" spans="1:9" ht="20.100000000000001" customHeight="1" x14ac:dyDescent="0.25">
      <c r="A88" s="3" t="s">
        <v>87</v>
      </c>
      <c r="B88" s="5" t="s">
        <v>94</v>
      </c>
      <c r="C88" s="4" t="s">
        <v>217</v>
      </c>
      <c r="D88" s="4" t="s">
        <v>289</v>
      </c>
      <c r="E88" s="4">
        <v>1</v>
      </c>
      <c r="F88" s="19">
        <f>1.2*0.482</f>
        <v>0.57839999999999991</v>
      </c>
      <c r="G88" s="19">
        <f t="shared" si="7"/>
        <v>0.57839999999999991</v>
      </c>
      <c r="H88" s="4"/>
      <c r="I88" s="2" t="s">
        <v>277</v>
      </c>
    </row>
    <row r="89" spans="1:9" ht="20.100000000000001" customHeight="1" x14ac:dyDescent="0.25">
      <c r="A89" s="30" t="s">
        <v>395</v>
      </c>
      <c r="B89" s="5" t="s">
        <v>350</v>
      </c>
      <c r="C89" s="4" t="s">
        <v>262</v>
      </c>
      <c r="D89" s="7" t="s">
        <v>247</v>
      </c>
      <c r="E89" s="4">
        <v>16</v>
      </c>
      <c r="F89" s="22">
        <v>0.12</v>
      </c>
      <c r="G89" s="19">
        <f t="shared" si="7"/>
        <v>1.92</v>
      </c>
      <c r="H89" s="4"/>
      <c r="I89" s="2"/>
    </row>
    <row r="90" spans="1:9" ht="20.100000000000001" customHeight="1" x14ac:dyDescent="0.45">
      <c r="A90" s="30" t="s">
        <v>396</v>
      </c>
      <c r="B90" s="5" t="s">
        <v>351</v>
      </c>
      <c r="C90" s="4" t="s">
        <v>242</v>
      </c>
      <c r="D90" s="9" t="s">
        <v>404</v>
      </c>
      <c r="E90" s="4">
        <v>1</v>
      </c>
      <c r="F90" s="19">
        <v>4</v>
      </c>
      <c r="G90" s="19">
        <f t="shared" si="7"/>
        <v>4</v>
      </c>
      <c r="H90" s="4"/>
      <c r="I90" s="2"/>
    </row>
    <row r="91" spans="1:9" ht="20.100000000000001" customHeight="1" x14ac:dyDescent="0.25">
      <c r="A91" s="58"/>
      <c r="B91" s="59"/>
      <c r="C91" s="59"/>
      <c r="D91" s="59"/>
      <c r="E91" s="59"/>
      <c r="F91" s="59"/>
      <c r="G91" s="59"/>
      <c r="H91" s="60"/>
      <c r="I91" s="2"/>
    </row>
    <row r="92" spans="1:9" ht="20.100000000000001" customHeight="1" x14ac:dyDescent="0.25">
      <c r="A92" s="3" t="s">
        <v>89</v>
      </c>
      <c r="B92" s="5" t="s">
        <v>96</v>
      </c>
      <c r="C92" s="4" t="s">
        <v>219</v>
      </c>
      <c r="D92" s="4" t="s">
        <v>227</v>
      </c>
      <c r="E92" s="4">
        <v>1</v>
      </c>
      <c r="F92" s="19">
        <f>SUM(G93:G95)</f>
        <v>12.087299999999999</v>
      </c>
      <c r="G92" s="24">
        <f>E92*F92</f>
        <v>12.087299999999999</v>
      </c>
      <c r="H92" s="4"/>
    </row>
    <row r="93" spans="1:9" ht="19.5" x14ac:dyDescent="0.25">
      <c r="A93" s="3" t="s">
        <v>91</v>
      </c>
      <c r="B93" s="5" t="s">
        <v>433</v>
      </c>
      <c r="C93" s="4" t="s">
        <v>221</v>
      </c>
      <c r="D93" s="4" t="s">
        <v>426</v>
      </c>
      <c r="E93" s="4">
        <v>1</v>
      </c>
      <c r="F93" s="19">
        <f>36*0.675*0.415</f>
        <v>10.0845</v>
      </c>
      <c r="G93" s="19">
        <f t="shared" ref="G93:G95" si="8">E93*F93</f>
        <v>10.0845</v>
      </c>
      <c r="H93" s="4" t="s">
        <v>494</v>
      </c>
      <c r="I93" s="2" t="s">
        <v>413</v>
      </c>
    </row>
    <row r="94" spans="1:9" ht="20.100000000000001" customHeight="1" x14ac:dyDescent="0.25">
      <c r="A94" s="3" t="s">
        <v>92</v>
      </c>
      <c r="B94" s="5" t="s">
        <v>214</v>
      </c>
      <c r="C94" s="4" t="s">
        <v>223</v>
      </c>
      <c r="D94" s="4" t="s">
        <v>218</v>
      </c>
      <c r="E94" s="4">
        <v>1</v>
      </c>
      <c r="F94" s="19">
        <f>1.2*0.415</f>
        <v>0.49799999999999994</v>
      </c>
      <c r="G94" s="19">
        <f t="shared" si="8"/>
        <v>0.49799999999999994</v>
      </c>
      <c r="H94" s="4"/>
      <c r="I94" s="2" t="s">
        <v>277</v>
      </c>
    </row>
    <row r="95" spans="1:9" ht="20.100000000000001" customHeight="1" x14ac:dyDescent="0.25">
      <c r="A95" s="3" t="s">
        <v>93</v>
      </c>
      <c r="B95" s="5" t="s">
        <v>100</v>
      </c>
      <c r="C95" s="4" t="s">
        <v>225</v>
      </c>
      <c r="D95" s="4" t="s">
        <v>228</v>
      </c>
      <c r="E95" s="4">
        <v>2</v>
      </c>
      <c r="F95" s="19">
        <f>1.2*0.627</f>
        <v>0.75239999999999996</v>
      </c>
      <c r="G95" s="19">
        <f t="shared" si="8"/>
        <v>1.5047999999999999</v>
      </c>
      <c r="H95" s="4"/>
      <c r="I95" s="2" t="s">
        <v>277</v>
      </c>
    </row>
    <row r="96" spans="1:9" ht="20.100000000000001" customHeight="1" x14ac:dyDescent="0.25">
      <c r="A96" s="30" t="s">
        <v>400</v>
      </c>
      <c r="B96" s="5" t="s">
        <v>350</v>
      </c>
      <c r="C96" s="4" t="s">
        <v>262</v>
      </c>
      <c r="D96" s="7" t="s">
        <v>247</v>
      </c>
      <c r="E96" s="4">
        <v>14</v>
      </c>
      <c r="F96" s="22">
        <v>0.12</v>
      </c>
      <c r="G96" s="19">
        <f t="shared" ref="G96:G97" si="9">F96*E96</f>
        <v>1.68</v>
      </c>
      <c r="H96" s="4"/>
      <c r="I96" s="2"/>
    </row>
    <row r="97" spans="1:10" ht="20.100000000000001" customHeight="1" x14ac:dyDescent="0.45">
      <c r="A97" s="30" t="s">
        <v>401</v>
      </c>
      <c r="B97" s="5" t="s">
        <v>351</v>
      </c>
      <c r="C97" s="4" t="s">
        <v>242</v>
      </c>
      <c r="D97" s="9" t="s">
        <v>405</v>
      </c>
      <c r="E97" s="4">
        <v>1</v>
      </c>
      <c r="F97" s="19">
        <v>4</v>
      </c>
      <c r="G97" s="19">
        <f t="shared" si="9"/>
        <v>4</v>
      </c>
      <c r="H97" s="4"/>
      <c r="I97" s="2"/>
    </row>
    <row r="98" spans="1:10" ht="20.100000000000001" customHeight="1" x14ac:dyDescent="0.25">
      <c r="A98" s="58"/>
      <c r="B98" s="59"/>
      <c r="C98" s="59"/>
      <c r="D98" s="59"/>
      <c r="E98" s="59"/>
      <c r="F98" s="59"/>
      <c r="G98" s="59"/>
      <c r="H98" s="60"/>
      <c r="I98" s="2"/>
    </row>
    <row r="99" spans="1:10" ht="20.100000000000001" customHeight="1" x14ac:dyDescent="0.25">
      <c r="A99" s="3" t="s">
        <v>95</v>
      </c>
      <c r="B99" s="5" t="s">
        <v>102</v>
      </c>
      <c r="C99" s="4" t="s">
        <v>220</v>
      </c>
      <c r="D99" s="4" t="s">
        <v>286</v>
      </c>
      <c r="E99" s="4">
        <v>1</v>
      </c>
      <c r="F99" s="19">
        <f>SUM(G100:G102)</f>
        <v>15.922800000000001</v>
      </c>
      <c r="G99" s="24">
        <f>E99*F99</f>
        <v>15.922800000000001</v>
      </c>
      <c r="H99" s="4"/>
    </row>
    <row r="100" spans="1:10" ht="19.5" x14ac:dyDescent="0.25">
      <c r="A100" s="3" t="s">
        <v>97</v>
      </c>
      <c r="B100" s="5" t="s">
        <v>432</v>
      </c>
      <c r="C100" s="4" t="s">
        <v>222</v>
      </c>
      <c r="D100" s="4" t="s">
        <v>427</v>
      </c>
      <c r="E100" s="4">
        <v>1</v>
      </c>
      <c r="F100" s="19">
        <f>36*0.725*0.524</f>
        <v>13.676399999999999</v>
      </c>
      <c r="G100" s="19">
        <f t="shared" ref="G100:G102" si="10">E100*F100</f>
        <v>13.676399999999999</v>
      </c>
      <c r="H100" s="4" t="s">
        <v>494</v>
      </c>
      <c r="I100" s="2" t="s">
        <v>413</v>
      </c>
    </row>
    <row r="101" spans="1:10" ht="20.100000000000001" customHeight="1" x14ac:dyDescent="0.25">
      <c r="A101" s="3" t="s">
        <v>98</v>
      </c>
      <c r="B101" s="5" t="s">
        <v>287</v>
      </c>
      <c r="C101" s="4" t="s">
        <v>224</v>
      </c>
      <c r="D101" s="4" t="s">
        <v>200</v>
      </c>
      <c r="E101" s="4">
        <v>1</v>
      </c>
      <c r="F101" s="19">
        <f>1.2*0.518</f>
        <v>0.62160000000000004</v>
      </c>
      <c r="G101" s="19">
        <f t="shared" si="10"/>
        <v>0.62160000000000004</v>
      </c>
      <c r="H101" s="4"/>
      <c r="I101" s="2" t="s">
        <v>277</v>
      </c>
    </row>
    <row r="102" spans="1:10" ht="20.100000000000001" customHeight="1" x14ac:dyDescent="0.25">
      <c r="A102" s="3" t="s">
        <v>99</v>
      </c>
      <c r="B102" s="5" t="s">
        <v>229</v>
      </c>
      <c r="C102" s="4" t="s">
        <v>226</v>
      </c>
      <c r="D102" s="4" t="s">
        <v>230</v>
      </c>
      <c r="E102" s="4">
        <v>2</v>
      </c>
      <c r="F102" s="19">
        <f>1.2*0.677</f>
        <v>0.81240000000000001</v>
      </c>
      <c r="G102" s="19">
        <f t="shared" si="10"/>
        <v>1.6248</v>
      </c>
      <c r="H102" s="4" t="s">
        <v>232</v>
      </c>
      <c r="I102" s="2" t="s">
        <v>277</v>
      </c>
    </row>
    <row r="103" spans="1:10" ht="20.100000000000001" customHeight="1" x14ac:dyDescent="0.25">
      <c r="A103" s="30" t="s">
        <v>402</v>
      </c>
      <c r="B103" s="5" t="s">
        <v>350</v>
      </c>
      <c r="C103" s="4" t="s">
        <v>262</v>
      </c>
      <c r="D103" s="7" t="s">
        <v>247</v>
      </c>
      <c r="E103" s="4">
        <v>14</v>
      </c>
      <c r="F103" s="22">
        <v>0.12</v>
      </c>
      <c r="G103" s="19">
        <f t="shared" ref="G103:G104" si="11">F103*E103</f>
        <v>1.68</v>
      </c>
      <c r="H103" s="4"/>
      <c r="I103" s="2"/>
    </row>
    <row r="104" spans="1:10" ht="20.100000000000001" customHeight="1" x14ac:dyDescent="0.45">
      <c r="A104" s="30" t="s">
        <v>403</v>
      </c>
      <c r="B104" s="5" t="s">
        <v>351</v>
      </c>
      <c r="C104" s="4" t="s">
        <v>242</v>
      </c>
      <c r="D104" s="9" t="s">
        <v>405</v>
      </c>
      <c r="E104" s="4">
        <v>1</v>
      </c>
      <c r="F104" s="19">
        <v>4</v>
      </c>
      <c r="G104" s="19">
        <f t="shared" si="11"/>
        <v>4</v>
      </c>
      <c r="H104" s="4"/>
      <c r="I104" s="2"/>
    </row>
    <row r="105" spans="1:10" ht="20.100000000000001" customHeight="1" x14ac:dyDescent="0.25">
      <c r="A105" s="58"/>
      <c r="B105" s="59"/>
      <c r="C105" s="59"/>
      <c r="D105" s="59"/>
      <c r="E105" s="59"/>
      <c r="F105" s="59"/>
      <c r="G105" s="59"/>
      <c r="H105" s="60"/>
      <c r="I105" s="2"/>
    </row>
    <row r="106" spans="1:10" ht="20.100000000000001" customHeight="1" x14ac:dyDescent="0.25">
      <c r="A106" s="3" t="s">
        <v>101</v>
      </c>
      <c r="B106" s="5" t="s">
        <v>346</v>
      </c>
      <c r="C106" s="4" t="s">
        <v>345</v>
      </c>
      <c r="D106" s="4"/>
      <c r="E106" s="4">
        <v>1</v>
      </c>
      <c r="F106" s="19">
        <f>SUM(G107:G113)</f>
        <v>13.508533333333334</v>
      </c>
      <c r="G106" s="24">
        <f>E106*F106</f>
        <v>13.508533333333334</v>
      </c>
      <c r="H106" s="4"/>
      <c r="I106" s="2"/>
    </row>
    <row r="107" spans="1:10" ht="20.100000000000001" customHeight="1" x14ac:dyDescent="0.25">
      <c r="A107" s="3" t="s">
        <v>103</v>
      </c>
      <c r="B107" s="5" t="s">
        <v>117</v>
      </c>
      <c r="C107" s="4" t="s">
        <v>118</v>
      </c>
      <c r="D107" s="4" t="s">
        <v>116</v>
      </c>
      <c r="E107" s="4">
        <v>4</v>
      </c>
      <c r="F107" s="19">
        <f>8/6</f>
        <v>1.3333333333333333</v>
      </c>
      <c r="G107" s="19">
        <f>E107*F107</f>
        <v>5.333333333333333</v>
      </c>
      <c r="H107" s="4" t="s">
        <v>253</v>
      </c>
      <c r="I107" s="2" t="s">
        <v>292</v>
      </c>
      <c r="J107" s="42" t="s">
        <v>342</v>
      </c>
    </row>
    <row r="108" spans="1:10" ht="20.100000000000001" customHeight="1" x14ac:dyDescent="0.25">
      <c r="A108" s="3" t="s">
        <v>104</v>
      </c>
      <c r="B108" s="5" t="s">
        <v>347</v>
      </c>
      <c r="C108" s="4" t="s">
        <v>31</v>
      </c>
      <c r="D108" s="4" t="s">
        <v>120</v>
      </c>
      <c r="E108" s="4">
        <v>8</v>
      </c>
      <c r="F108" s="19">
        <f>F46</f>
        <v>0.3</v>
      </c>
      <c r="G108" s="19">
        <f t="shared" ref="G108:G113" si="12">E108*F108</f>
        <v>2.4</v>
      </c>
      <c r="H108" s="4"/>
      <c r="I108" s="2" t="s">
        <v>296</v>
      </c>
    </row>
    <row r="109" spans="1:10" ht="20.100000000000001" customHeight="1" x14ac:dyDescent="0.25">
      <c r="A109" s="3" t="s">
        <v>105</v>
      </c>
      <c r="B109" s="5" t="s">
        <v>47</v>
      </c>
      <c r="C109" s="4" t="s">
        <v>48</v>
      </c>
      <c r="D109" s="4" t="s">
        <v>160</v>
      </c>
      <c r="E109" s="4">
        <v>6</v>
      </c>
      <c r="F109" s="19">
        <f>F49</f>
        <v>0.12</v>
      </c>
      <c r="G109" s="19">
        <f t="shared" si="12"/>
        <v>0.72</v>
      </c>
      <c r="H109" s="4"/>
      <c r="I109" s="2"/>
    </row>
    <row r="110" spans="1:10" ht="20.100000000000001" customHeight="1" x14ac:dyDescent="0.25">
      <c r="A110" s="3" t="s">
        <v>361</v>
      </c>
      <c r="B110" s="5" t="s">
        <v>348</v>
      </c>
      <c r="C110" s="4" t="s">
        <v>233</v>
      </c>
      <c r="D110" s="4" t="s">
        <v>234</v>
      </c>
      <c r="E110" s="4">
        <v>2</v>
      </c>
      <c r="F110" s="19">
        <f>1.2*0.273</f>
        <v>0.3276</v>
      </c>
      <c r="G110" s="19">
        <f t="shared" si="12"/>
        <v>0.6552</v>
      </c>
      <c r="H110" s="4" t="s">
        <v>235</v>
      </c>
      <c r="I110" s="2" t="s">
        <v>277</v>
      </c>
    </row>
    <row r="111" spans="1:10" ht="20.100000000000001" customHeight="1" x14ac:dyDescent="0.25">
      <c r="A111" s="3" t="s">
        <v>362</v>
      </c>
      <c r="B111" s="5" t="s">
        <v>349</v>
      </c>
      <c r="C111" s="4" t="s">
        <v>236</v>
      </c>
      <c r="D111" s="4" t="s">
        <v>237</v>
      </c>
      <c r="E111" s="4">
        <v>2</v>
      </c>
      <c r="F111" s="19"/>
      <c r="G111" s="19"/>
      <c r="H111" s="4" t="s">
        <v>238</v>
      </c>
    </row>
    <row r="112" spans="1:10" ht="19.5" x14ac:dyDescent="0.25">
      <c r="A112" s="3" t="s">
        <v>363</v>
      </c>
      <c r="B112" s="5" t="s">
        <v>15</v>
      </c>
      <c r="C112" s="4" t="s">
        <v>16</v>
      </c>
      <c r="D112" s="4" t="s">
        <v>120</v>
      </c>
      <c r="E112" s="4">
        <v>2</v>
      </c>
      <c r="F112" s="19">
        <f>F8</f>
        <v>1.2</v>
      </c>
      <c r="G112" s="19">
        <f t="shared" si="12"/>
        <v>2.4</v>
      </c>
      <c r="H112" s="4"/>
      <c r="I112" s="2" t="s">
        <v>295</v>
      </c>
    </row>
    <row r="113" spans="1:11" ht="19.5" x14ac:dyDescent="0.25">
      <c r="A113" s="3" t="s">
        <v>364</v>
      </c>
      <c r="B113" s="5" t="s">
        <v>306</v>
      </c>
      <c r="C113" s="4" t="s">
        <v>309</v>
      </c>
      <c r="D113" s="7" t="s">
        <v>158</v>
      </c>
      <c r="E113" s="4">
        <v>2</v>
      </c>
      <c r="F113" s="19">
        <f>F48</f>
        <v>1</v>
      </c>
      <c r="G113" s="19">
        <f t="shared" si="12"/>
        <v>2</v>
      </c>
      <c r="H113" s="8"/>
      <c r="I113" s="2" t="s">
        <v>292</v>
      </c>
    </row>
    <row r="114" spans="1:11" s="39" customFormat="1" ht="20.100000000000001" customHeight="1" x14ac:dyDescent="0.45">
      <c r="A114" s="6" t="s">
        <v>420</v>
      </c>
      <c r="B114" s="5" t="s">
        <v>428</v>
      </c>
      <c r="C114" s="7" t="s">
        <v>414</v>
      </c>
      <c r="D114" s="7" t="s">
        <v>415</v>
      </c>
      <c r="E114" s="7">
        <v>1</v>
      </c>
      <c r="F114" s="21">
        <v>72</v>
      </c>
      <c r="G114" s="21">
        <v>72</v>
      </c>
      <c r="H114" s="7" t="s">
        <v>429</v>
      </c>
      <c r="I114" s="2" t="s">
        <v>413</v>
      </c>
      <c r="J114" s="42"/>
      <c r="K114" s="42"/>
    </row>
    <row r="115" spans="1:11" ht="20.100000000000001" customHeight="1" x14ac:dyDescent="0.25">
      <c r="F115" s="35"/>
    </row>
    <row r="117" spans="1:11" ht="20.100000000000001" customHeight="1" x14ac:dyDescent="0.35">
      <c r="A117" s="57" t="s">
        <v>353</v>
      </c>
      <c r="B117" s="57"/>
      <c r="C117" s="57"/>
      <c r="D117" s="57"/>
      <c r="E117" s="57"/>
      <c r="F117" s="57"/>
      <c r="G117" s="27">
        <f>F72+F2</f>
        <v>261.47856714285717</v>
      </c>
    </row>
  </sheetData>
  <customSheetViews>
    <customSheetView guid="{FFA4CF7B-EF93-4B15-9374-ACE14AE79026}" topLeftCell="A19">
      <selection activeCell="B32" sqref="B32"/>
      <pageMargins left="0.7" right="0.7" top="0.75" bottom="0.75" header="0.3" footer="0.3"/>
      <pageSetup paperSize="9" orientation="portrait" r:id="rId1"/>
    </customSheetView>
  </customSheetViews>
  <mergeCells count="13">
    <mergeCell ref="F2:G2"/>
    <mergeCell ref="A77:H77"/>
    <mergeCell ref="A84:H84"/>
    <mergeCell ref="A91:H91"/>
    <mergeCell ref="F72:G72"/>
    <mergeCell ref="A117:F117"/>
    <mergeCell ref="A98:H98"/>
    <mergeCell ref="A105:H105"/>
    <mergeCell ref="A21:H21"/>
    <mergeCell ref="A34:H34"/>
    <mergeCell ref="A54:H54"/>
    <mergeCell ref="A70:H70"/>
    <mergeCell ref="A67:H67"/>
  </mergeCells>
  <phoneticPr fontId="3" type="noConversion"/>
  <hyperlinks>
    <hyperlink ref="I14" r:id="rId2" xr:uid="{E95C2C0D-C434-465B-A01D-5E71E5161BD0}"/>
    <hyperlink ref="I69" r:id="rId3" display="https://vitreenligne.ch/fr/verre-transparent-/441-verre-float-4-mm-clair-verre-float-4-mm-clair-accueil-chf-1400.html" xr:uid="{EC5F1828-33FD-44E1-A951-D6466A20F20A}"/>
    <hyperlink ref="I28" r:id="rId4" display="https://meige.ch/produits/isolation-et-etancheite/liege" xr:uid="{00820D48-9160-48DF-A767-822188433555}"/>
    <hyperlink ref="I9" r:id="rId5" display="https://meige.ch/produits/isolation-et-etancheite/liege" xr:uid="{A9BAF67E-F32A-481A-B01B-6920D75BB7D0}"/>
    <hyperlink ref="I42" r:id="rId6" display="https://meige.ch/produits/isolation-et-etancheite/liege" xr:uid="{EA25455B-6A17-472F-8DE5-182D67412780}"/>
    <hyperlink ref="I60" r:id="rId7" display="https://meige.ch/produits/isolation-et-etancheite/liege" xr:uid="{3D900AAC-3E4D-4ED8-8898-E626F0C59ADC}"/>
    <hyperlink ref="I5" r:id="rId8" display="https://www.jumbo.ch/fr/construction-renovation/bois/bois-de-construction-bois-profile/lattes-de-toit/tasseau-brut-oecoplan--2000-x-24-x-48-mm/p/3851678?tt=c2VhcmNofGFyZWExfEF8U3RhbmRhcmRrYW1wYWduZXxzZWFyY2hfc2VhcmNodGVybV9yZWxhdGVkfFNUMlBfU0VQXw==" xr:uid="{2AC401ED-8BEC-433C-9541-717EE02F0858}"/>
    <hyperlink ref="I6" r:id="rId9" display="https://www.jumbo.ch/fr/construction-renovation/bois/bois-de-construction-bois-profile/lattes-de-toit/tasseau-brut-oecoplan--2000-x-24-x-48-mm/p/3851678?tt=c2VhcmNofGFyZWExfEF8U3RhbmRhcmRrYW1wYWduZXxzZWFyY2hfc2VhcmNodGVybV9yZWxhdGVkfFNUMlBfU0VQXw==" xr:uid="{20412413-5FFA-401A-9D19-0580AC8FBE68}"/>
    <hyperlink ref="I24" r:id="rId10" display="https://www.jumbo.ch/fr/construction-renovation/bois/bois-de-construction-bois-profile/lattes-de-toit/tasseau-brut-oecoplan--2000-x-24-x-48-mm/p/3851678?tt=c2VhcmNofGFyZWExfEF8U3RhbmRhcmRrYW1wYWduZXxzZWFyY2hfc2VhcmNodGVybV9yZWxhdGVkfFNUMlBfU0VQXw==" xr:uid="{902E5999-1101-42D8-92A5-97CF9F88690B}"/>
    <hyperlink ref="I25" r:id="rId11" display="https://www.jumbo.ch/fr/construction-renovation/bois/bois-de-construction-bois-profile/lattes-de-toit/tasseau-brut-oecoplan--2000-x-24-x-48-mm/p/3851678?tt=c2VhcmNofGFyZWExfEF8U3RhbmRhcmRrYW1wYWduZXxzZWFyY2hfc2VhcmNodGVybV9yZWxhdGVkfFNUMlBfU0VQXw==" xr:uid="{4846B640-885B-4EB0-94FD-D4EAC3B41792}"/>
    <hyperlink ref="I27" r:id="rId12" display="https://www.jumbo.ch/fr/construction-renovation/bois/bois-de-construction-bois-profile/lattes-de-toit/tasseau-brut-oecoplan--2000-x-24-x-48-mm/p/3851678?tt=c2VhcmNofGFyZWExfEF8U3RhbmRhcmRrYW1wYWduZXxzZWFyY2hfc2VhcmNodGVybV9yZWxhdGVkfFNUMlBfU0VQXw==" xr:uid="{1FA802FD-B20C-44C3-927C-CE0321802C64}"/>
    <hyperlink ref="I38" r:id="rId13" display="https://www.jumbo.ch/fr/construction-renovation/bois/bois-de-construction-bois-profile/lattes-de-toit/tasseau-brut-oecoplan--2000-x-24-x-48-mm/p/3851678?tt=c2VhcmNofGFyZWExfEF8U3RhbmRhcmRrYW1wYWduZXxzZWFyY2hfc2VhcmNodGVybV9yZWxhdGVkfFNUMlBfU0VQXw==" xr:uid="{F2ACD84C-0D5E-4259-AC27-ACE39835E91C}"/>
    <hyperlink ref="I39" r:id="rId14" display="https://www.jumbo.ch/fr/construction-renovation/bois/bois-de-construction-bois-profile/lattes-de-toit/tasseau-brut-oecoplan--2000-x-24-x-48-mm/p/3851678?tt=c2VhcmNofGFyZWExfEF8U3RhbmRhcmRrYW1wYWduZXxzZWFyY2hfc2VhcmNodGVybV9yZWxhdGVkfFNUMlBfU0VQXw==" xr:uid="{BE489A6C-F01E-444F-B8D2-315F5B9C3CF6}"/>
    <hyperlink ref="I58" r:id="rId15" display="https://www.jumbo.ch/fr/construction-renovation/bois/bois-de-construction-bois-profile/lattes-de-toit/tasseau-brut-oecoplan--2000-x-24-x-48-mm/p/3851678?tt=c2VhcmNofGFyZWExfEF8U3RhbmRhcmRrYW1wYWduZXxzZWFyY2hfc2VhcmNodGVybV9yZWxhdGVkfFNUMlBfU0VQXw==" xr:uid="{D4828595-6767-49C2-87E3-ECC748A21629}"/>
    <hyperlink ref="I59" r:id="rId16" display="https://www.jumbo.ch/fr/construction-renovation/bois/bois-de-construction-bois-profile/lattes-de-toit/tasseau-brut-oecoplan--2000-x-24-x-48-mm/p/3851678?tt=c2VhcmNofGFyZWExfEF8U3RhbmRhcmRrYW1wYWduZXxzZWFyY2hfc2VhcmNodGVybV9yZWxhdGVkfFNUMlBfU0VQXw==" xr:uid="{9B1C5FD6-6733-4130-8703-3E922586FE63}"/>
    <hyperlink ref="I74" r:id="rId17" display="https://www.jumbo.ch/fr/construction-renovation/bois/bois-de-construction-bois-profile/lattes-de-toit/tasseau-brut-oecoplan--2000-x-24-x-48-mm/p/3851678?tt=c2VhcmNofGFyZWExfEF8U3RhbmRhcmRrYW1wYWduZXxzZWFyY2hfc2VhcmNodGVybV9yZWxhdGVkfFNUMlBfU0VQXw==" xr:uid="{70E7B6A0-32AC-41A8-B1C1-D809E0B97582}"/>
    <hyperlink ref="I75" r:id="rId18" display="https://www.jumbo.ch/fr/construction-renovation/bois/bois-de-construction-bois-profile/lattes-de-toit/tasseau-brut-oecoplan--2000-x-24-x-48-mm/p/3851678?tt=c2VhcmNofGFyZWExfEF8U3RhbmRhcmRrYW1wYWduZXxzZWFyY2hfc2VhcmNodGVybV9yZWxhdGVkfFNUMlBfU0VQXw==" xr:uid="{DCEBB633-7D81-4949-B767-CA70762F582B}"/>
    <hyperlink ref="I80" r:id="rId19" display="https://www.jumbo.ch/fr/construction-renovation/bois/bois-de-construction-bois-profile/lattes-de-toit/tasseau-brut-oecoplan--2000-x-24-x-48-mm/p/3851678?tt=c2VhcmNofGFyZWExfEF8U3RhbmRhcmRrYW1wYWduZXxzZWFyY2hfc2VhcmNodGVybV9yZWxhdGVkfFNUMlBfU0VQXw==" xr:uid="{2010A71B-A696-4679-B1C7-4683E7D72656}"/>
    <hyperlink ref="I81" r:id="rId20" display="https://www.jumbo.ch/fr/construction-renovation/bois/bois-de-construction-bois-profile/lattes-de-toit/tasseau-brut-oecoplan--2000-x-24-x-48-mm/p/3851678?tt=c2VhcmNofGFyZWExfEF8U3RhbmRhcmRrYW1wYWduZXxzZWFyY2hfc2VhcmNodGVybV9yZWxhdGVkfFNUMlBfU0VQXw==" xr:uid="{1078C164-D95D-4E84-B8EC-E1253FAD8370}"/>
    <hyperlink ref="I87" r:id="rId21" display="https://www.jumbo.ch/fr/construction-renovation/bois/bois-de-construction-bois-profile/lattes-de-toit/tasseau-brut-oecoplan--2000-x-24-x-48-mm/p/3851678?tt=c2VhcmNofGFyZWExfEF8U3RhbmRhcmRrYW1wYWduZXxzZWFyY2hfc2VhcmNodGVybV9yZWxhdGVkfFNUMlBfU0VQXw==" xr:uid="{B7B80929-4239-4CBD-A883-DB409341A8E5}"/>
    <hyperlink ref="I88" r:id="rId22" display="https://www.jumbo.ch/fr/construction-renovation/bois/bois-de-construction-bois-profile/lattes-de-toit/tasseau-brut-oecoplan--2000-x-24-x-48-mm/p/3851678?tt=c2VhcmNofGFyZWExfEF8U3RhbmRhcmRrYW1wYWduZXxzZWFyY2hfc2VhcmNodGVybV9yZWxhdGVkfFNUMlBfU0VQXw==" xr:uid="{BF7B5200-00D0-48F5-8367-D543C9C36AE0}"/>
    <hyperlink ref="I94" r:id="rId23" display="https://www.jumbo.ch/fr/construction-renovation/bois/bois-de-construction-bois-profile/lattes-de-toit/tasseau-brut-oecoplan--2000-x-24-x-48-mm/p/3851678?tt=c2VhcmNofGFyZWExfEF8U3RhbmRhcmRrYW1wYWduZXxzZWFyY2hfc2VhcmNodGVybV9yZWxhdGVkfFNUMlBfU0VQXw==" xr:uid="{83D9D670-1338-4CAC-93F1-1EFC4208F000}"/>
    <hyperlink ref="I95" r:id="rId24" display="https://www.jumbo.ch/fr/construction-renovation/bois/bois-de-construction-bois-profile/lattes-de-toit/tasseau-brut-oecoplan--2000-x-24-x-48-mm/p/3851678?tt=c2VhcmNofGFyZWExfEF8U3RhbmRhcmRrYW1wYWduZXxzZWFyY2hfc2VhcmNodGVybV9yZWxhdGVkfFNUMlBfU0VQXw==" xr:uid="{F9B9BE08-7510-4C44-B688-570E5B9E6618}"/>
    <hyperlink ref="I101" r:id="rId25" display="https://www.jumbo.ch/fr/construction-renovation/bois/bois-de-construction-bois-profile/lattes-de-toit/tasseau-brut-oecoplan--2000-x-24-x-48-mm/p/3851678?tt=c2VhcmNofGFyZWExfEF8U3RhbmRhcmRrYW1wYWduZXxzZWFyY2hfc2VhcmNodGVybV9yZWxhdGVkfFNUMlBfU0VQXw==" xr:uid="{F1266407-4E36-4DDC-ABAB-6309E24209F9}"/>
    <hyperlink ref="I102" r:id="rId26" display="https://www.jumbo.ch/fr/construction-renovation/bois/bois-de-construction-bois-profile/lattes-de-toit/tasseau-brut-oecoplan--2000-x-24-x-48-mm/p/3851678?tt=c2VhcmNofGFyZWExfEF8U3RhbmRhcmRrYW1wYWduZXxzZWFyY2hfc2VhcmNodGVybV9yZWxhdGVkfFNUMlBfU0VQXw==" xr:uid="{329F3D86-9E57-41EF-8951-9440F81A8ACA}"/>
    <hyperlink ref="I110" r:id="rId27" display="https://www.jumbo.ch/fr/construction-renovation/bois/bois-de-construction-bois-profile/lattes-de-toit/tasseau-brut-oecoplan--2000-x-24-x-48-mm/p/3851678?tt=c2VhcmNofGFyZWExfEF8U3RhbmRhcmRrYW1wYWduZXxzZWFyY2hfc2VhcmNodGVybV9yZWxhdGVkfFNUMlBfU0VQXw==" xr:uid="{9EC27BDC-4455-4CB2-9F49-6F88E50C33DD}"/>
    <hyperlink ref="I107" r:id="rId28" display="https://www.jumbo.ch/fr/gros-outillage-atelier/petite-quincaillerie/vis/vis-a-metaux/ayce-vis-a-tete-hexagonale--m8/p/6930462?tt=X1NFUF83MjM1ZTkwYTFhZDU3MzcwZDRjNmZkMjhiOWViMzljN19QT1NfMTY=" xr:uid="{4BD366D7-BD2F-46F5-B146-A00751198A9E}"/>
    <hyperlink ref="I30" r:id="rId29" display="https://www.jumbo.ch/fr/gros-outillage-atelier/petite-quincaillerie/vis/vis-a-metaux/ayce-vis-a-tete-hexagonale--m8/p/6930585?tt=X1NFUF84ZDQ3OWY2MzRjYTBhZmI5ZDhmNjY3OWQ5NDNmNDhlZF9QT1NfMjE=" xr:uid="{E637894B-C7B9-4F02-9926-58B6CDB05266}"/>
    <hyperlink ref="I48" r:id="rId30" display="https://www.jumbo.ch/fr/gros-outillage-atelier/petite-quincaillerie/vis/vis-a-metaux/ayce-vis-a-tete-hexagonale--m8/p/6930585?tt=X1NFUF84ZDQ3OWY2MzRjYTBhZmI5ZDhmNjY3OWQ5NDNmNDhlZF9QT1NfMjE=" xr:uid="{4862F0DD-861D-4B24-8296-E863C89D9F17}"/>
    <hyperlink ref="I113" r:id="rId31" display="https://www.jumbo.ch/fr/gros-outillage-atelier/petite-quincaillerie/vis/vis-a-metaux/ayce-vis-a-tete-hexagonale--m8/p/6930585?tt=X1NFUF84ZDQ3OWY2MzRjYTBhZmI5ZDhmNjY3OWQ5NDNmNDhlZF9QT1NfMjE=" xr:uid="{858C5A67-BE40-43B6-B010-09B72C7869C8}"/>
    <hyperlink ref="I32" r:id="rId32" display="https://www.jumbo.ch/fr/gros-outillage-atelier/petite-quincaillerie/rondelles-plates-ecrous-gefundene-terminologie-eintraege4/ayce-ecrou-de-securite--sw13/p/6930107?tt=YnVuZGxlfGFyZWExfEF8QnVuZGxlfEJVTkRMRV9PVEd8T1RHX2J1bmRsZV9NYXJrZV9TRVBf" xr:uid="{277D1184-473F-48E6-B769-F78F688E90D0}"/>
    <hyperlink ref="I50" r:id="rId33" display="https://www.jumbo.ch/fr/gros-outillage-atelier/petite-quincaillerie/rondelles-plates-ecrous-gefundene-terminologie-eintraege4/ayce-ecrou-de-securite--sw13/p/6930107?tt=YnVuZGxlfGFyZWExfEF8QnVuZGxlfEJVTkRMRV9PVEd8T1RHX2J1bmRsZV9NYXJrZV9TRVBf" xr:uid="{6305723A-D12E-40E7-9D5B-8A29FD8A35A2}"/>
    <hyperlink ref="I8" r:id="rId34" display="https://www.jumbo.ch/fr/gros-outillage-atelier/petite-quincaillerie/rondelles-plates-ecrous-gefundene-terminologie-eintraege4/ayce-ecrou-a-ailettes--m8/p/6930000?tt=X1NFUF8wM2RiMTljYTY4ZWFmMGVjZmY1Nzg0M2MwY2Q4ZjcwM19QT1NfNg==" xr:uid="{47BE42A5-E117-435D-92E3-E92F1C6EB6AF}"/>
    <hyperlink ref="I41" r:id="rId35" display="https://www.jumbo.ch/fr/gros-outillage-atelier/petite-quincaillerie/rondelles-plates-ecrous-gefundene-terminologie-eintraege4/ayce-ecrou-a-ailettes--m8/p/6930000?tt=X1NFUF8wM2RiMTljYTY4ZWFmMGVjZmY1Nzg0M2MwY2Q4ZjcwM19QT1NfNg==" xr:uid="{3036509C-5FF4-478F-A5C2-1BAAFA99AD13}"/>
    <hyperlink ref="I112" r:id="rId36" display="https://www.jumbo.ch/fr/gros-outillage-atelier/petite-quincaillerie/rondelles-plates-ecrous-gefundene-terminologie-eintraege4/ayce-ecrou-a-ailettes--m8/p/6930000?tt=X1NFUF8wM2RiMTljYTY4ZWFmMGVjZmY1Nzg0M2MwY2Q4ZjcwM19QT1NfNg==" xr:uid="{CC8E44B1-F907-431E-80A8-9C01DF924564}"/>
    <hyperlink ref="I15" r:id="rId37" display="https://www.jumbo.ch/fr/gros-outillage-atelier/petite-quincaillerie/rondelles-plates-ecrous-gefundene-terminologie-eintraege4/ayce-ecrou-hexagonal--m8/p/6930078?tt=X1NFUF9lMGU2Yjk4NzIyMDdkYjMzMWZmODg4YzBmODg4MDU4YV9QT1NfMTU=" xr:uid="{1D6D39A8-1659-44D4-AFC6-066936CE0CFA}"/>
    <hyperlink ref="I46" r:id="rId38" display="https://www.jumbo.ch/fr/gros-outillage-atelier/petite-quincaillerie/rondelles-plates-ecrous-gefundene-terminologie-eintraege4/ayce-ecrou-hexagonal--m8/p/6930078?tt=X1NFUF9lMGU2Yjk4NzIyMDdkYjMzMWZmODg4YzBmODg4MDU4YV9QT1NfMTU=" xr:uid="{53B480FF-0340-48B1-AD06-97EDB33ADA53}"/>
    <hyperlink ref="I108" r:id="rId39" display="https://www.jumbo.ch/fr/gros-outillage-atelier/petite-quincaillerie/rondelles-plates-ecrous-gefundene-terminologie-eintraege4/ayce-ecrou-hexagonal--m8/p/6930078?tt=X1NFUF9lMGU2Yjk4NzIyMDdkYjMzMWZmODg4YzBmODg4MDU4YV9QT1NfMTU=" xr:uid="{EC2B5FBE-40E7-40F9-8D84-D187AAE75CC3}"/>
    <hyperlink ref="I44" r:id="rId40" display="https://www.jumbo.ch/fr/construction-renovation/bois/bois-de-construction-bois-profile/lattes-de-toit/tasseau-brut-oecoplan--2000-x-24-x-48-mm/p/3851678?tt=c2VhcmNofGFyZWExfEF8U3RhbmRhcmRrYW1wYWduZXxzZWFyY2hfc2VhcmNodGVybV9yZWxhdGVkfFNUMlBfU0VQXw==" xr:uid="{6281F5C8-8B94-4B6E-B30C-B8E2E6759DC6}"/>
    <hyperlink ref="I31" r:id="rId41" display="https://www.jumbo.ch/fr/gros-outillage-atelier/petite-quincaillerie/rondelles-plates-ecrous-gefundene-terminologie-eintraege4/ayce-rondelle--m8/p/6928510?tt=X1NFUF9iNzM1YjIyMDFhYzBkNWZiMmYyOTg0NzFhOGY1ZThiMl9QT1NfMQ==" xr:uid="{FFABCA30-5384-4570-BBBE-A06E1FC5E6AD}"/>
    <hyperlink ref="I49" r:id="rId42" display="https://www.jumbo.ch/fr/gros-outillage-atelier/petite-quincaillerie/rondelles-plates-ecrous-gefundene-terminologie-eintraege4/ayce-rondelle--m8/p/6928510?tt=X1NFUF9iNzM1YjIyMDFhYzBkNWZiMmYyOTg0NzFhOGY1ZThiMl9QT1NfMQ==" xr:uid="{80B8AF19-A07F-49A1-9F5F-6FBA8C6DAF40}"/>
    <hyperlink ref="I53" r:id="rId43" display="https://www.jumbo.ch/fr/gros-outillage-atelier/petite-quincaillerie/vis/vis-a-bois/vis-universelle-a-tete-fraisee--45--20-mm/p/6934638?tt=X1NFUF84NGM4MWE3YjlkYjJmMDUzNmQ3ODY2ZDEwMDdjZDUwNF9QT1NfMjQ=" xr:uid="{130C3856-2C96-4CEA-A9E0-6E4920B13114}"/>
    <hyperlink ref="I33" r:id="rId44" display="https://www.jumbo.ch/fr/gros-outillage-atelier/petite-quincaillerie/vis/vis-a-bois/vis-universelle-a-tete-fraisee--45--20-mm/p/6934638?tt=X1NFUF84NGM4MWE3YjlkYjJmMDUzNmQ3ODY2ZDEwMDdjZDUwNF9QT1NfMjQ=" xr:uid="{99526D57-F3CE-48A4-9DF5-076215980309}"/>
    <hyperlink ref="I65" r:id="rId45" display="https://www.jumbo.ch/fr/gros-outillage-atelier/petite-quincaillerie/vis/vis-a-bois/vis-universelle-a-tete-fraisee--45--20-mm/p/6934638?tt=X1NFUF84NGM4MWE3YjlkYjJmMDUzNmQ3ODY2ZDEwMDdjZDUwNF9QT1NfMjQ=" xr:uid="{3F753A8A-B4C2-4972-B9BF-B727668F3E97}"/>
    <hyperlink ref="I18" r:id="rId46" display="https://www.jumbo.ch/fr/gros-outillage-atelier/petite-quincaillerie/vis/vis-a-bois/ayce-vis-a-bois-universelle-a-tete-fraisee--4--16-mm/p/6928458?tt=X1NFUF9iZjExNzBiMzc2NDliMjgwNzgzY2VhOWI5NjQ0YjMzOV9QT1NfMTk=" xr:uid="{94D11483-27EA-4D6A-BB9E-86A6C74B2795}"/>
    <hyperlink ref="I52" r:id="rId47" display="https://www.jumbo.ch/fr/gros-outillage-atelier/petite-quincaillerie/vis/vis-a-bois/ayce-vis-a-bois-universelle-a-tete-fraisee--4--16-mm/p/6928458?tt=X1NFUF9iZjExNzBiMzc2NDliMjgwNzgzY2VhOWI5NjQ0YjMzOV9QT1NfMTk=" xr:uid="{9F29A920-8DF4-4B0D-9A60-935CE1C95B5F}"/>
    <hyperlink ref="I20" r:id="rId48" display="https://www.jumbo.ch/fr/gros-outillage-atelier/petite-quincaillerie/vis/vis-a-bois/ayce-vis-a-bois-universelle-a-tete-fraisee--45--30-mm/p/6930359?tt=X1NFUF8yNTUyNmQ5ZDMwZWRkMmFmMWZiY2NkZDE5ZjIyNWUzM19QT1NfMw==" xr:uid="{C515DEC4-AB42-495F-98BA-553C4296C6EB}"/>
    <hyperlink ref="I66" r:id="rId49" display="https://www.jumbo.ch/fr/gros-outillage-atelier/petite-quincaillerie/vis/vis-a-bois/ayce-vis-a-bois-universelle-a-tete-fraisee--45--30-mm/p/6930359?tt=X1NFUF8yNTUyNmQ5ZDMwZWRkMmFmMWZiY2NkZDE5ZjIyNWUzM19QT1NfMw==" xr:uid="{7F1CA642-C512-4707-9C2A-F3F29F7927F2}"/>
    <hyperlink ref="I64" r:id="rId50" display="https://www.jumbo.ch/fr/gros-outillage-atelier/ferrures-accessoires/ferrures/boutons-poignees/siro-poignee-de-meuble-en-erable-brut--107--14--29-mm/p/3444144?tt=cHJvZHVjdHxhcmVhMnxBfFN0YW5kYXJka2FtcGFnbmV8b3JkZXJlZF90b2dldGhlcl9QRFB8b3JkZXJlZF90b2dldGhlcl9QRFBfU0VQXw==" xr:uid="{081247D7-3FC8-4D04-9C6A-104AE27CBDBD}"/>
    <hyperlink ref="I7" r:id="rId51" display="https://www.jumbo.ch/fr/gros-outillage-atelier/petite-quincaillerie/vis/vis-a-metaux/ayce-vis-a-tete-hexagonale--m8/p/6930456?tt=X1NFUF9kNzg0MWViYzk3ZjNhNDhiNWY5NWQyMjRlZGE0MzY5OV9QT1NfMTk=" xr:uid="{D187DC47-C3B3-4D2C-89A7-529F288FD3EF}"/>
    <hyperlink ref="I40" r:id="rId52" display="https://www.jumbo.ch/fr/gros-outillage-atelier/petite-quincaillerie/vis/vis-a-metaux/ayce-vis-a-tete-hexagonale--m8/p/6930456?tt=X1NFUF9kNzg0MWViYzk3ZjNhNDhiNWY5NWQyMjRlZGE0MzY5OV9QT1NfMTk=" xr:uid="{DE145B9A-B955-4269-85A3-DF29B40E40AE}"/>
    <hyperlink ref="I19" r:id="rId53" display="https://www.jumbo.ch/fr/gros-outillage-atelier/petite-quincaillerie/vis/vis-a-bois/ayce-vis-a-bois-universelle-a-tete-fraisee--20--45-mm/p/6929252?tt=cHJvZHVjdHxhcmVhMnxBfFN0YW5kYXJka2FtcGFnbmV8cHJvZHVjdF9jcm9zc3NlbGxpbmd8UDJQX3Byb2R1Y3RfU0VQXw==" xr:uid="{469C9597-747A-4E9E-8F86-30D4F883CE53}"/>
    <hyperlink ref="I68" r:id="rId54" location="modal" display="https://www.jumbo.ch/fr/gros-outillage-atelier/ferrures-accessoires/profils/profiles-en-aluminium/alfer-tole-lisse-en-aluminium--1000--600--08-mm/p/4151895?tt=YnVuZGxlfGFyZWExfEF8QnVuZGxlfEJVTkRMRV9PVEdfTWFya2VufE9UR19idW5kbGVfTWFya2VfU0VQXw== - modal" xr:uid="{BA735FE8-629B-4619-9A39-7ED6DA2013C3}"/>
    <hyperlink ref="I114" r:id="rId55" display="https://www.jumbo.ch/fr/construction-renovation/verre-verre-synthetique/verre-synthetique/miroir-en-polystyrene--100--200-cm/p/3374634?tt=X1NFUF8zZDE1YTM3MTkzODNiYmU4MDBlYzk1MDdmNWY0ZWEzNV9QT1NfOQ==" xr:uid="{84E73F29-E59D-4100-99BC-58F18EE8ED22}"/>
    <hyperlink ref="I100" r:id="rId56" display="https://www.jumbo.ch/fr/construction-renovation/verre-verre-synthetique/verre-synthetique/miroir-en-polystyrene--100--200-cm/p/3374634?tt=X1NFUF8zZDE1YTM3MTkzODNiYmU4MDBlYzk1MDdmNWY0ZWEzNV9QT1NfOQ==" xr:uid="{854E049C-566B-484C-85C9-599F6BAB6B59}"/>
    <hyperlink ref="I93" r:id="rId57" display="https://www.jumbo.ch/fr/construction-renovation/verre-verre-synthetique/verre-synthetique/miroir-en-polystyrene--100--200-cm/p/3374634?tt=X1NFUF8zZDE1YTM3MTkzODNiYmU4MDBlYzk1MDdmNWY0ZWEzNV9QT1NfOQ==" xr:uid="{29DDFAD8-5D27-4C28-9F20-A99EBEB636A3}"/>
    <hyperlink ref="I86" r:id="rId58" display="https://www.jumbo.ch/fr/construction-renovation/verre-verre-synthetique/verre-synthetique/miroir-en-polystyrene--100--200-cm/p/3374634?tt=X1NFUF8zZDE1YTM3MTkzODNiYmU4MDBlYzk1MDdmNWY0ZWEzNV9QT1NfOQ==" xr:uid="{7C56038C-5AD9-44B4-A9F3-997DA028649D}"/>
    <hyperlink ref="I79" r:id="rId59" display="https://www.jumbo.ch/fr/construction-renovation/verre-verre-synthetique/verre-synthetique/miroir-en-polystyrene--100--200-cm/p/3374634?tt=X1NFUF8zZDE1YTM3MTkzODNiYmU4MDBlYzk1MDdmNWY0ZWEzNV9QT1NfOQ==" xr:uid="{585FFD88-228F-4895-8457-2961D2277F0C}"/>
    <hyperlink ref="I63" r:id="rId60" display="https://www.jumbo.ch/fr/construction-renovation/bois/decoupe-du-bois/panneaux-contreplaques/panneau-contreplaque-en-peuplier-oecoplan-ab-4-mm/p/4706098?tt=X1NFUF9lY2RmOWJlN2VmNWI2NzliYmI0ZDQxOWNjNDdhNjQ1ZV9QT1NfMTg=" xr:uid="{BD01B439-72DE-428F-B34C-3F5FC0E437DC}"/>
    <hyperlink ref="I61" r:id="rId61" display="https://www.jumbo.ch/fr/construction-renovation/bois/decoupe-du-bois/panneaux-contreplaques/panneau-contreplaque-en-peuplier-oecoplan-ab-4-mm/p/4706098?tt=X1NFUF9lY2RmOWJlN2VmNWI2NzliYmI0ZDQxOWNjNDdhNjQ1ZV9QT1NfMTg=" xr:uid="{C9BCB156-CB75-4D66-8DA3-FC8289A806F2}"/>
    <hyperlink ref="I47" r:id="rId62" display="https://www.jumbo.ch/fr/construction-renovation/bois/decoupe-du-bois/panneaux-contreplaques/panneau-contreplaque-en-peuplier-oecoplan-ab-4-mm/p/4706098?tt=X1NFUF9lY2RmOWJlN2VmNWI2NzliYmI0ZDQxOWNjNDdhNjQ1ZV9QT1NfMTg=" xr:uid="{E88FADDE-F7D7-4E18-B0B7-4C9D88763503}"/>
    <hyperlink ref="I29" r:id="rId63" display="https://www.jumbo.ch/fr/construction-renovation/bois/decoupe-du-bois/panneaux-contreplaques/panneau-contreplaque-en-peuplier-oecoplan-ab-4-mm/p/4706098?tt=X1NFUF9lY2RmOWJlN2VmNWI2NzliYmI0ZDQxOWNjNDdhNjQ1ZV9QT1NfMTg=" xr:uid="{5277E225-AE88-4DA9-AE2F-8B50293D3D84}"/>
    <hyperlink ref="I16" r:id="rId64" display="https://www.jumbo.ch/fr/construction-renovation/bois/decoupe-du-bois/panneaux-contreplaques/panneau-contreplaque-en-peuplier-oecoplan-ab-4-mm/p/4706098?tt=X1NFUF9lY2RmOWJlN2VmNWI2NzliYmI0ZDQxOWNjNDdhNjQ1ZV9QT1NfMTg=" xr:uid="{6A6440D1-5F7A-460F-94BD-0979099558BA}"/>
    <hyperlink ref="I4" r:id="rId65" display="https://www.jumbo.ch/fr/construction-renovation/bois/decoupe-du-bois/panneaux-contreplaques/panneau-contreplaque-en-peuplier-oecoplan-ab-6-mm/p/4706102?tt=X1NFUF8xZmMxMzQwYjQ1Zjk2ZjExYjUxMjRjNzc2ZGU0NTY5Ml9QT1NfMTM=" xr:uid="{6A96A3E3-8AD8-40EA-B790-85CCB3A1FFF1}"/>
    <hyperlink ref="I10" r:id="rId66" display="https://www.jumbo.ch/fr/construction-renovation/bois/decoupe-du-bois/panneaux-contreplaques/panneau-contreplaque-en-peuplier-oecoplan-ab-6-mm/p/4706102?tt=X1NFUF8xZmMxMzQwYjQ1Zjk2ZjExYjUxMjRjNzc2ZGU0NTY5Ml9QT1NfMTM=" xr:uid="{1CD43745-E5FE-4C9B-AEF6-A1DE1D2343B2}"/>
    <hyperlink ref="I12" r:id="rId67" display="https://www.jumbo.ch/fr/construction-renovation/bois/decoupe-du-bois/panneaux-contreplaques/panneau-contreplaque-en-peuplier-oecoplan-ab-6-mm/p/4706102?tt=X1NFUF8xZmMxMzQwYjQ1Zjk2ZjExYjUxMjRjNzc2ZGU0NTY5Ml9QT1NfMTM=" xr:uid="{79C7FBB2-0113-45BB-9845-0E46422ED383}"/>
    <hyperlink ref="I13" r:id="rId68" display="https://www.jumbo.ch/fr/construction-renovation/bois/decoupe-du-bois/panneaux-contreplaques/panneau-contreplaque-en-peuplier-oecoplan-ab-6-mm/p/4706102?tt=X1NFUF8xZmMxMzQwYjQ1Zjk2ZjExYjUxMjRjNzc2ZGU0NTY5Ml9QT1NfMTM=" xr:uid="{5D34B7C6-DB6B-4756-A23F-C4A0A23539A7}"/>
    <hyperlink ref="I23" r:id="rId69" display="https://www.jumbo.ch/fr/construction-renovation/bois/decoupe-du-bois/panneaux-contreplaques/panneau-contreplaque-en-peuplier-oecoplan-ab-6-mm/p/4706102?tt=X1NFUF8xZmMxMzQwYjQ1Zjk2ZjExYjUxMjRjNzc2ZGU0NTY5Ml9QT1NfMTM=" xr:uid="{AFE02100-D8A9-4CE9-87BB-CC822B6AC812}"/>
    <hyperlink ref="I37" r:id="rId70" display="https://www.jumbo.ch/fr/construction-renovation/bois/decoupe-du-bois/panneaux-contreplaques/panneau-contreplaque-en-peuplier-oecoplan-ab-6-mm/p/4706102?tt=X1NFUF8xZmMxMzQwYjQ1Zjk2ZjExYjUxMjRjNzc2ZGU0NTY5Ml9QT1NfMTM=" xr:uid="{94C4E933-D116-4DA9-91CB-A103DD31F0B5}"/>
    <hyperlink ref="I43" r:id="rId71" display="https://www.jumbo.ch/fr/construction-renovation/bois/decoupe-du-bois/panneaux-contreplaques/panneau-contreplaque-en-peuplier-oecoplan-ab-6-mm/p/4706102?tt=X1NFUF8xZmMxMzQwYjQ1Zjk2ZjExYjUxMjRjNzc2ZGU0NTY5Ml9QT1NfMTM=" xr:uid="{E07A21E5-7CFE-4FCD-B4E8-083210A1830E}"/>
    <hyperlink ref="I45" r:id="rId72" display="https://www.jumbo.ch/fr/construction-renovation/bois/decoupe-du-bois/panneaux-contreplaques/panneau-contreplaque-en-peuplier-oecoplan-ab-6-mm/p/4706102?tt=X1NFUF8xZmMxMzQwYjQ1Zjk2ZjExYjUxMjRjNzc2ZGU0NTY5Ml9QT1NfMTM=" xr:uid="{1259C0B7-C86E-479E-9066-FE97AE68B30F}"/>
    <hyperlink ref="I56" r:id="rId73" display="https://www.jumbo.ch/fr/construction-renovation/bois/decoupe-du-bois/panneaux-contreplaques/panneau-contreplaque-en-peuplier-oecoplan-ab-6-mm/p/4706102?tt=X1NFUF8xZmMxMzQwYjQ1Zjk2ZjExYjUxMjRjNzc2ZGU0NTY5Ml9QT1NfMTM=" xr:uid="{6EE6A862-97A5-49CA-8D46-D3A340A3ADB3}"/>
    <hyperlink ref="I57" r:id="rId74" display="https://www.jumbo.ch/fr/construction-renovation/bois/decoupe-du-bois/panneaux-contreplaques/panneau-contreplaque-en-peuplier-oecoplan-ab-6-mm/p/4706102?tt=X1NFUF8xZmMxMzQwYjQ1Zjk2ZjExYjUxMjRjNzc2ZGU0NTY5Ml9QT1NfMTM=" xr:uid="{BEB628F5-2CAA-4CA3-B53A-A84DD114D1DA}"/>
  </hyperlinks>
  <pageMargins left="0.7" right="0.7" top="0.75" bottom="0.75" header="0.3" footer="0.3"/>
  <pageSetup paperSize="9" scale="55" fitToHeight="0" orientation="landscape" r:id="rId75"/>
  <rowBreaks count="2" manualBreakCount="2">
    <brk id="34" max="7" man="1"/>
    <brk id="70" max="7" man="1"/>
  </rowBreaks>
  <ignoredErrors>
    <ignoredError sqref="F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B8CA-68D6-461B-9935-C8CA4F49D33A}">
  <sheetPr>
    <pageSetUpPr fitToPage="1"/>
  </sheetPr>
  <dimension ref="A1:I28"/>
  <sheetViews>
    <sheetView zoomScaleNormal="100" workbookViewId="0">
      <pane ySplit="1" topLeftCell="A2" activePane="bottomLeft" state="frozen"/>
      <selection activeCell="E1" sqref="E1"/>
      <selection pane="bottomLeft" sqref="A1:F26"/>
    </sheetView>
  </sheetViews>
  <sheetFormatPr baseColWidth="10" defaultRowHeight="20.100000000000001" customHeight="1" x14ac:dyDescent="0.25"/>
  <cols>
    <col min="1" max="1" width="29.140625" bestFit="1" customWidth="1"/>
    <col min="2" max="2" width="40.140625" bestFit="1" customWidth="1"/>
    <col min="3" max="3" width="24.85546875" customWidth="1"/>
    <col min="4" max="4" width="5.42578125" customWidth="1"/>
    <col min="5" max="5" width="20" customWidth="1"/>
    <col min="6" max="6" width="17.28515625" customWidth="1"/>
    <col min="7" max="7" width="73.42578125" bestFit="1" customWidth="1"/>
    <col min="8" max="8" width="18.140625" customWidth="1"/>
  </cols>
  <sheetData>
    <row r="1" spans="1:9" s="13" customFormat="1" ht="21.75" x14ac:dyDescent="0.25">
      <c r="A1" s="37" t="s">
        <v>373</v>
      </c>
      <c r="B1" s="37" t="s">
        <v>2</v>
      </c>
      <c r="C1" s="37" t="s">
        <v>106</v>
      </c>
      <c r="D1" s="37" t="s">
        <v>3</v>
      </c>
      <c r="E1" s="37" t="s">
        <v>327</v>
      </c>
      <c r="F1" s="37" t="s">
        <v>328</v>
      </c>
      <c r="G1" s="38" t="s">
        <v>107</v>
      </c>
    </row>
    <row r="2" spans="1:9" ht="19.5" x14ac:dyDescent="0.25">
      <c r="A2" s="5" t="s">
        <v>374</v>
      </c>
      <c r="B2" s="4" t="s">
        <v>375</v>
      </c>
      <c r="C2" s="4" t="s">
        <v>376</v>
      </c>
      <c r="D2" s="4">
        <v>5</v>
      </c>
      <c r="E2" s="19">
        <f>27*0.8*0.5</f>
        <v>10.8</v>
      </c>
      <c r="F2" s="19">
        <f>D2*E2</f>
        <v>54</v>
      </c>
      <c r="G2" s="2" t="s">
        <v>437</v>
      </c>
      <c r="H2" t="s">
        <v>314</v>
      </c>
      <c r="I2" s="36" t="s">
        <v>317</v>
      </c>
    </row>
    <row r="3" spans="1:9" ht="19.5" x14ac:dyDescent="0.25">
      <c r="A3" s="5" t="s">
        <v>383</v>
      </c>
      <c r="B3" s="4" t="s">
        <v>385</v>
      </c>
      <c r="C3" s="4" t="s">
        <v>384</v>
      </c>
      <c r="D3" s="4">
        <v>1</v>
      </c>
      <c r="E3" s="19">
        <f>21*0.8*0.5</f>
        <v>8.4</v>
      </c>
      <c r="F3" s="19">
        <f t="shared" ref="F3:F23" si="0">D3*E3</f>
        <v>8.4</v>
      </c>
      <c r="G3" s="2" t="s">
        <v>438</v>
      </c>
      <c r="H3" s="40" t="s">
        <v>315</v>
      </c>
      <c r="I3" s="36" t="s">
        <v>439</v>
      </c>
    </row>
    <row r="4" spans="1:9" ht="19.5" x14ac:dyDescent="0.25">
      <c r="A4" s="5" t="s">
        <v>377</v>
      </c>
      <c r="B4" s="4" t="s">
        <v>378</v>
      </c>
      <c r="C4" s="4" t="s">
        <v>379</v>
      </c>
      <c r="D4" s="4">
        <v>10</v>
      </c>
      <c r="E4" s="19">
        <f>1.2*2</f>
        <v>2.4</v>
      </c>
      <c r="F4" s="19">
        <f t="shared" si="0"/>
        <v>24</v>
      </c>
      <c r="G4" s="2" t="s">
        <v>277</v>
      </c>
    </row>
    <row r="5" spans="1:9" ht="20.100000000000001" customHeight="1" x14ac:dyDescent="0.25">
      <c r="A5" s="5" t="s">
        <v>406</v>
      </c>
      <c r="B5" s="4" t="s">
        <v>118</v>
      </c>
      <c r="C5" s="4" t="s">
        <v>116</v>
      </c>
      <c r="D5" s="4">
        <v>4</v>
      </c>
      <c r="E5" s="19">
        <f>8/6</f>
        <v>1.3333333333333333</v>
      </c>
      <c r="F5" s="19">
        <f>D5*E5</f>
        <v>5.333333333333333</v>
      </c>
      <c r="G5" s="2" t="s">
        <v>292</v>
      </c>
      <c r="H5" t="s">
        <v>342</v>
      </c>
    </row>
    <row r="6" spans="1:9" ht="19.5" x14ac:dyDescent="0.25">
      <c r="A6" s="5" t="s">
        <v>381</v>
      </c>
      <c r="B6" s="4" t="s">
        <v>308</v>
      </c>
      <c r="C6" s="4" t="s">
        <v>310</v>
      </c>
      <c r="D6" s="4">
        <v>10</v>
      </c>
      <c r="E6" s="19">
        <f>7/6</f>
        <v>1.1666666666666667</v>
      </c>
      <c r="F6" s="19">
        <f t="shared" si="0"/>
        <v>11.666666666666668</v>
      </c>
      <c r="G6" s="2" t="s">
        <v>292</v>
      </c>
      <c r="H6" t="s">
        <v>313</v>
      </c>
    </row>
    <row r="7" spans="1:9" ht="20.100000000000001" customHeight="1" x14ac:dyDescent="0.25">
      <c r="A7" s="5" t="s">
        <v>389</v>
      </c>
      <c r="B7" s="4" t="s">
        <v>309</v>
      </c>
      <c r="C7" s="4" t="s">
        <v>158</v>
      </c>
      <c r="D7" s="4">
        <v>7</v>
      </c>
      <c r="E7" s="19">
        <f>6/6</f>
        <v>1</v>
      </c>
      <c r="F7" s="19">
        <f t="shared" si="0"/>
        <v>7</v>
      </c>
      <c r="G7" s="2" t="s">
        <v>292</v>
      </c>
      <c r="H7" t="s">
        <v>325</v>
      </c>
    </row>
    <row r="8" spans="1:9" ht="19.5" x14ac:dyDescent="0.25">
      <c r="A8" s="5" t="s">
        <v>382</v>
      </c>
      <c r="B8" s="4" t="s">
        <v>16</v>
      </c>
      <c r="C8" s="4" t="s">
        <v>120</v>
      </c>
      <c r="D8" s="4">
        <v>12</v>
      </c>
      <c r="E8" s="19">
        <f>6/5</f>
        <v>1.2</v>
      </c>
      <c r="F8" s="19">
        <f t="shared" si="0"/>
        <v>14.399999999999999</v>
      </c>
      <c r="G8" s="2" t="s">
        <v>295</v>
      </c>
      <c r="H8" t="s">
        <v>318</v>
      </c>
    </row>
    <row r="9" spans="1:9" ht="19.5" x14ac:dyDescent="0.25">
      <c r="A9" s="5" t="s">
        <v>380</v>
      </c>
      <c r="B9" s="4" t="s">
        <v>123</v>
      </c>
      <c r="C9" s="4" t="s">
        <v>388</v>
      </c>
      <c r="D9" s="4">
        <v>1</v>
      </c>
      <c r="E9" s="19">
        <f>26*1*0.5</f>
        <v>13</v>
      </c>
      <c r="F9" s="19">
        <f t="shared" si="0"/>
        <v>13</v>
      </c>
      <c r="G9" s="2" t="s">
        <v>274</v>
      </c>
      <c r="H9" t="s">
        <v>311</v>
      </c>
    </row>
    <row r="10" spans="1:9" ht="19.5" x14ac:dyDescent="0.25">
      <c r="A10" s="5" t="s">
        <v>386</v>
      </c>
      <c r="B10" s="4" t="s">
        <v>130</v>
      </c>
      <c r="C10" s="4" t="s">
        <v>128</v>
      </c>
      <c r="D10" s="4">
        <v>2</v>
      </c>
      <c r="E10" s="32"/>
      <c r="F10" s="32"/>
      <c r="G10" s="18"/>
    </row>
    <row r="11" spans="1:9" ht="19.5" x14ac:dyDescent="0.25">
      <c r="A11" s="5" t="s">
        <v>387</v>
      </c>
      <c r="B11" s="4" t="s">
        <v>28</v>
      </c>
      <c r="C11" s="4" t="s">
        <v>136</v>
      </c>
      <c r="D11" s="4">
        <v>2</v>
      </c>
      <c r="E11" s="19">
        <v>2.25</v>
      </c>
      <c r="F11" s="19">
        <f t="shared" si="0"/>
        <v>4.5</v>
      </c>
      <c r="G11" s="2" t="s">
        <v>241</v>
      </c>
      <c r="H11" t="s">
        <v>319</v>
      </c>
    </row>
    <row r="12" spans="1:9" ht="19.5" x14ac:dyDescent="0.45">
      <c r="A12" s="5" t="s">
        <v>409</v>
      </c>
      <c r="B12" s="4" t="s">
        <v>242</v>
      </c>
      <c r="C12" s="9" t="s">
        <v>304</v>
      </c>
      <c r="D12" s="4">
        <v>4</v>
      </c>
      <c r="E12" s="19">
        <f>4</f>
        <v>4</v>
      </c>
      <c r="F12" s="19">
        <f t="shared" si="0"/>
        <v>16</v>
      </c>
      <c r="G12" s="2" t="s">
        <v>305</v>
      </c>
      <c r="H12" t="s">
        <v>343</v>
      </c>
    </row>
    <row r="13" spans="1:9" ht="19.5" x14ac:dyDescent="0.25">
      <c r="A13" s="5" t="s">
        <v>407</v>
      </c>
      <c r="B13" s="4" t="s">
        <v>31</v>
      </c>
      <c r="C13" s="4" t="s">
        <v>120</v>
      </c>
      <c r="D13" s="4">
        <v>18</v>
      </c>
      <c r="E13" s="19">
        <f>3/10</f>
        <v>0.3</v>
      </c>
      <c r="F13" s="19">
        <f t="shared" si="0"/>
        <v>5.3999999999999995</v>
      </c>
      <c r="G13" s="2" t="s">
        <v>296</v>
      </c>
      <c r="H13" t="s">
        <v>320</v>
      </c>
    </row>
    <row r="14" spans="1:9" ht="19.5" x14ac:dyDescent="0.25">
      <c r="A14" s="5" t="s">
        <v>48</v>
      </c>
      <c r="B14" s="4" t="s">
        <v>48</v>
      </c>
      <c r="C14" s="4" t="s">
        <v>160</v>
      </c>
      <c r="D14" s="4">
        <v>19</v>
      </c>
      <c r="E14" s="19">
        <f>6/50</f>
        <v>0.12</v>
      </c>
      <c r="F14" s="19">
        <f t="shared" si="0"/>
        <v>2.2799999999999998</v>
      </c>
      <c r="G14" s="2" t="s">
        <v>297</v>
      </c>
      <c r="I14" s="20"/>
    </row>
    <row r="15" spans="1:9" ht="19.5" x14ac:dyDescent="0.25">
      <c r="A15" s="14" t="s">
        <v>412</v>
      </c>
      <c r="B15" s="15" t="s">
        <v>269</v>
      </c>
      <c r="C15" s="15" t="s">
        <v>339</v>
      </c>
      <c r="D15" s="15">
        <v>8</v>
      </c>
      <c r="E15" s="21">
        <f>6/70</f>
        <v>8.5714285714285715E-2</v>
      </c>
      <c r="F15" s="19">
        <f t="shared" si="0"/>
        <v>0.68571428571428572</v>
      </c>
      <c r="G15" s="2" t="s">
        <v>300</v>
      </c>
      <c r="H15" t="s">
        <v>321</v>
      </c>
    </row>
    <row r="16" spans="1:9" ht="19.5" x14ac:dyDescent="0.25">
      <c r="A16" s="5" t="s">
        <v>411</v>
      </c>
      <c r="B16" s="4" t="s">
        <v>248</v>
      </c>
      <c r="C16" s="4" t="s">
        <v>247</v>
      </c>
      <c r="D16" s="4">
        <f>20+12+19+16+8+8+10+10+6+6+6+6</f>
        <v>127</v>
      </c>
      <c r="E16" s="19">
        <f>6/50</f>
        <v>0.12</v>
      </c>
      <c r="F16" s="19">
        <f t="shared" si="0"/>
        <v>15.24</v>
      </c>
      <c r="G16" s="2" t="s">
        <v>323</v>
      </c>
      <c r="H16" t="s">
        <v>324</v>
      </c>
    </row>
    <row r="17" spans="1:8" ht="19.5" x14ac:dyDescent="0.25">
      <c r="A17" s="5" t="s">
        <v>410</v>
      </c>
      <c r="B17" s="4" t="s">
        <v>258</v>
      </c>
      <c r="C17" s="4" t="s">
        <v>259</v>
      </c>
      <c r="D17" s="4">
        <v>18</v>
      </c>
      <c r="E17" s="19">
        <f>8/70</f>
        <v>0.11428571428571428</v>
      </c>
      <c r="F17" s="19">
        <f t="shared" si="0"/>
        <v>2.0571428571428569</v>
      </c>
      <c r="G17" s="2" t="s">
        <v>301</v>
      </c>
      <c r="H17" t="s">
        <v>322</v>
      </c>
    </row>
    <row r="18" spans="1:8" ht="19.5" x14ac:dyDescent="0.25">
      <c r="A18" s="5" t="s">
        <v>263</v>
      </c>
      <c r="B18" s="4" t="s">
        <v>263</v>
      </c>
      <c r="C18" s="7" t="s">
        <v>264</v>
      </c>
      <c r="D18" s="4">
        <v>8</v>
      </c>
      <c r="E18" s="19">
        <f>9/50</f>
        <v>0.18</v>
      </c>
      <c r="F18" s="19">
        <f>D18*E18</f>
        <v>1.44</v>
      </c>
      <c r="G18" s="2" t="s">
        <v>302</v>
      </c>
      <c r="H18" t="s">
        <v>344</v>
      </c>
    </row>
    <row r="19" spans="1:8" ht="20.100000000000001" customHeight="1" x14ac:dyDescent="0.25">
      <c r="A19" s="5" t="s">
        <v>390</v>
      </c>
      <c r="B19" s="4" t="s">
        <v>162</v>
      </c>
      <c r="C19" s="4" t="s">
        <v>120</v>
      </c>
      <c r="D19" s="4">
        <v>3</v>
      </c>
      <c r="E19" s="19">
        <f>6/10</f>
        <v>0.6</v>
      </c>
      <c r="F19" s="19">
        <f t="shared" si="0"/>
        <v>1.7999999999999998</v>
      </c>
      <c r="G19" s="2" t="s">
        <v>294</v>
      </c>
      <c r="H19" t="s">
        <v>326</v>
      </c>
    </row>
    <row r="20" spans="1:8" ht="20.100000000000001" customHeight="1" x14ac:dyDescent="0.25">
      <c r="A20" s="5" t="s">
        <v>391</v>
      </c>
      <c r="B20" s="4" t="s">
        <v>197</v>
      </c>
      <c r="C20" s="4" t="s">
        <v>340</v>
      </c>
      <c r="D20" s="4">
        <v>1</v>
      </c>
      <c r="E20" s="19">
        <v>6.2</v>
      </c>
      <c r="F20" s="19">
        <f t="shared" si="0"/>
        <v>6.2</v>
      </c>
      <c r="G20" s="2" t="s">
        <v>303</v>
      </c>
      <c r="H20" t="s">
        <v>341</v>
      </c>
    </row>
    <row r="21" spans="1:8" ht="20.100000000000001" customHeight="1" x14ac:dyDescent="0.25">
      <c r="A21" s="5" t="s">
        <v>392</v>
      </c>
      <c r="B21" s="4" t="s">
        <v>245</v>
      </c>
      <c r="C21" s="4" t="s">
        <v>423</v>
      </c>
      <c r="D21" s="4">
        <v>1</v>
      </c>
      <c r="E21" s="19">
        <v>25</v>
      </c>
      <c r="F21" s="19">
        <f t="shared" si="0"/>
        <v>25</v>
      </c>
      <c r="G21" s="2" t="s">
        <v>273</v>
      </c>
      <c r="H21" t="s">
        <v>441</v>
      </c>
    </row>
    <row r="22" spans="1:8" ht="20.100000000000001" customHeight="1" x14ac:dyDescent="0.25">
      <c r="A22" s="14" t="s">
        <v>421</v>
      </c>
      <c r="B22" s="4" t="s">
        <v>422</v>
      </c>
      <c r="C22" s="4" t="s">
        <v>436</v>
      </c>
      <c r="D22" s="4">
        <v>1</v>
      </c>
      <c r="E22" s="19">
        <v>42</v>
      </c>
      <c r="F22" s="19">
        <v>42</v>
      </c>
      <c r="G22" s="2" t="s">
        <v>419</v>
      </c>
      <c r="H22" t="s">
        <v>440</v>
      </c>
    </row>
    <row r="23" spans="1:8" ht="19.5" x14ac:dyDescent="0.25">
      <c r="A23" s="5" t="s">
        <v>430</v>
      </c>
      <c r="B23" s="4" t="s">
        <v>431</v>
      </c>
      <c r="C23" s="4" t="s">
        <v>415</v>
      </c>
      <c r="D23" s="4">
        <v>1</v>
      </c>
      <c r="E23" s="21">
        <v>72</v>
      </c>
      <c r="F23" s="21">
        <f t="shared" si="0"/>
        <v>72</v>
      </c>
      <c r="G23" s="2" t="s">
        <v>413</v>
      </c>
      <c r="H23" t="s">
        <v>441</v>
      </c>
    </row>
    <row r="24" spans="1:8" ht="20.100000000000001" customHeight="1" x14ac:dyDescent="0.25">
      <c r="A24" s="5" t="s">
        <v>408</v>
      </c>
      <c r="B24" s="4" t="s">
        <v>236</v>
      </c>
      <c r="C24" s="4" t="s">
        <v>237</v>
      </c>
      <c r="D24" s="4">
        <v>2</v>
      </c>
      <c r="E24" s="32"/>
      <c r="F24" s="32"/>
      <c r="G24" s="18"/>
    </row>
    <row r="26" spans="1:8" ht="20.100000000000001" customHeight="1" x14ac:dyDescent="0.25">
      <c r="F26" s="35">
        <f>SUM(F2:F24)</f>
        <v>332.40285714285716</v>
      </c>
    </row>
    <row r="28" spans="1:8" ht="20.100000000000001" customHeight="1" x14ac:dyDescent="0.35">
      <c r="A28" s="57"/>
      <c r="B28" s="57"/>
      <c r="C28" s="57"/>
      <c r="D28" s="57"/>
      <c r="E28" s="57"/>
      <c r="F28" s="27"/>
    </row>
  </sheetData>
  <mergeCells count="1">
    <mergeCell ref="A28:E28"/>
  </mergeCells>
  <hyperlinks>
    <hyperlink ref="G11" r:id="rId1" xr:uid="{69771CD6-A2F9-403C-AA72-33233C619F2E}"/>
    <hyperlink ref="G9" r:id="rId2" display="https://meige.ch/produits/isolation-et-etancheite/liege" xr:uid="{B7022556-98DB-4EE2-9C60-64A35D7740CA}"/>
    <hyperlink ref="G4" r:id="rId3" display="https://www.jumbo.ch/fr/construction-renovation/bois/bois-de-construction-bois-profile/lattes-de-toit/tasseau-brut-oecoplan--2000-x-24-x-48-mm/p/3851678?tt=c2VhcmNofGFyZWExfEF8U3RhbmRhcmRrYW1wYWduZXxzZWFyY2hfc2VhcmNodGVybV9yZWxhdGVkfFNUMlBfU0VQXw==" xr:uid="{FD7CCBED-4735-40AE-A648-67ED94A458E3}"/>
    <hyperlink ref="G5" r:id="rId4" display="https://www.jumbo.ch/fr/gros-outillage-atelier/petite-quincaillerie/vis/vis-a-metaux/ayce-vis-a-tete-hexagonale--m8/p/6930462?tt=X1NFUF83MjM1ZTkwYTFhZDU3MzcwZDRjNmZkMjhiOWViMzljN19QT1NfMTY=" xr:uid="{53D001E1-0B69-44BB-94F1-59D95BD48BD8}"/>
    <hyperlink ref="G7" r:id="rId5" display="https://www.jumbo.ch/fr/gros-outillage-atelier/petite-quincaillerie/vis/vis-a-metaux/ayce-vis-a-tete-hexagonale--m8/p/6930585?tt=X1NFUF84ZDQ3OWY2MzRjYTBhZmI5ZDhmNjY3OWQ5NDNmNDhlZF9QT1NfMjE=" xr:uid="{CC0F9008-CC1B-4D9A-8E67-940790E5ABC7}"/>
    <hyperlink ref="G19" r:id="rId6" display="https://www.jumbo.ch/fr/gros-outillage-atelier/petite-quincaillerie/rondelles-plates-ecrous-gefundene-terminologie-eintraege4/ayce-ecrou-de-securite--sw13/p/6930107?tt=YnVuZGxlfGFyZWExfEF8QnVuZGxlfEJVTkRMRV9PVEd8T1RHX2J1bmRsZV9NYXJrZV9TRVBf" xr:uid="{8F2584CB-0A88-4950-9AE7-0D81DA5A84DB}"/>
    <hyperlink ref="G8" r:id="rId7" display="https://www.jumbo.ch/fr/gros-outillage-atelier/petite-quincaillerie/rondelles-plates-ecrous-gefundene-terminologie-eintraege4/ayce-ecrou-a-ailettes--m8/p/6930000?tt=X1NFUF8wM2RiMTljYTY4ZWFmMGVjZmY1Nzg0M2MwY2Q4ZjcwM19QT1NfNg==" xr:uid="{6A8B4838-25AE-4CB6-974D-3D75891CABEE}"/>
    <hyperlink ref="G13" r:id="rId8" display="https://www.jumbo.ch/fr/gros-outillage-atelier/petite-quincaillerie/rondelles-plates-ecrous-gefundene-terminologie-eintraege4/ayce-ecrou-hexagonal--m8/p/6930078?tt=X1NFUF9lMGU2Yjk4NzIyMDdkYjMzMWZmODg4YzBmODg4MDU4YV9QT1NfMTU=" xr:uid="{3D5193B9-E44C-4F53-8CAB-A5017D6849F7}"/>
    <hyperlink ref="G15" r:id="rId9" display="https://www.jumbo.ch/fr/gros-outillage-atelier/petite-quincaillerie/vis/vis-a-bois/ayce-vis-a-bois-universelle-a-tete-fraisee--4--16-mm/p/6928458?tt=X1NFUF9iZjExNzBiMzc2NDliMjgwNzgzY2VhOWI5NjQ0YjMzOV9QT1NfMTk=" xr:uid="{1E1D2DAB-1386-418A-8A73-B16B63C6876D}"/>
    <hyperlink ref="G17" r:id="rId10" display="https://www.jumbo.ch/fr/gros-outillage-atelier/petite-quincaillerie/vis/vis-a-bois/ayce-vis-a-bois-universelle-a-tete-fraisee--45--30-mm/p/6930359?tt=X1NFUF8yNTUyNmQ5ZDMwZWRkMmFmMWZiY2NkZDE5ZjIyNWUzM19QT1NfMw==" xr:uid="{ADE9DD20-2192-43F8-BF66-0FC7D754E592}"/>
    <hyperlink ref="G18" r:id="rId11" display="https://www.jumbo.ch/fr/gros-outillage-atelier/petite-quincaillerie/vis/vis-a-bois/ayce-vis-universelle-a-tete-bombee-pour-bois--45--50-mm/p/6932252?tt=X1NFUF8wMzdjNjVmNmFiMTczYzQ5ZTA4YjUzODk1NGMyNzkwYV9QT1NfMjM=" xr:uid="{287EDB1D-66EC-4264-9A67-66BE39344555}"/>
    <hyperlink ref="G20" r:id="rId12" display="https://www.jumbo.ch/fr/gros-outillage-atelier/ferrures-accessoires/ferrures/boutons-poignees/siro-poignee-de-meuble-en-erable-brut--107--14--29-mm/p/3444144?tt=cHJvZHVjdHxhcmVhMnxBfFN0YW5kYXJka2FtcGFnbmV8b3JkZXJlZF90b2dldGhlcl9QRFB8b3JkZXJlZF90b2dldGhlcl9QRFBfU0VQXw==" xr:uid="{A59F70C4-86B2-4E8E-A471-00578C7193D0}"/>
    <hyperlink ref="G6" r:id="rId13" display="https://www.jumbo.ch/fr/gros-outillage-atelier/petite-quincaillerie/vis/vis-a-metaux/ayce-vis-a-tete-hexagonale--m8/p/6930456?tt=X1NFUF9kNzg0MWViYzk3ZjNhNDhiNWY5NWQyMjRlZGE0MzY5OV9QT1NfMTk=" xr:uid="{8480F3AE-7C3E-4A33-B288-077A33E632CA}"/>
    <hyperlink ref="G16" r:id="rId14" display="https://www.jumbo.ch/fr/gros-outillage-atelier/petite-quincaillerie/vis/vis-a-bois/ayce-vis-a-bois-universelle-a-tete-fraisee--20--45-mm/p/6929252?tt=cHJvZHVjdHxhcmVhMnxBfFN0YW5kYXJka2FtcGFnbmV8cHJvZHVjdF9jcm9zc3NlbGxpbmd8UDJQX3Byb2R1Y3RfU0VQXw==" xr:uid="{756C0DE1-B812-45BC-B93C-F6B38506BF3A}"/>
    <hyperlink ref="G12" r:id="rId15" display="https://www.jumbo.ch/fr/gros-outillage-atelier/ferrures-accessoires/ferrures/charnieres-vivaneaux/hettich-charniere-piano-charniere-a-piano--noir--600-mm/p/7491087?tt=X1NFUF9kYzQ3M2UwNWJkMmRlYjQ4MjY0MDQxMTZhZTE5ZGE0N19QT1NfMg==" xr:uid="{8B19DBBD-8FCE-4EC6-9BE6-BCD12B596F71}"/>
    <hyperlink ref="G21" r:id="rId16" display="https://vitreenligne.ch/fr/verre-transparent-/441-verre-float-4-mm-clair-verre-float-4-mm-clair-accueil-chf-1400.html" xr:uid="{9F70F7F4-5B51-4B2D-90DC-3B88C268A550}"/>
    <hyperlink ref="G23" r:id="rId17" display="https://www.jumbo.ch/fr/construction-renovation/verre-verre-synthetique/verre-synthetique/miroir-en-polystyrene--100--200-cm/p/3374634?tt=X1NFUF8zZDE1YTM3MTkzODNiYmU4MDBlYzk1MDdmNWY0ZWEzNV9QT1NfOQ==" xr:uid="{16F87B55-14EE-42FC-982D-BBCBD9B3B4AA}"/>
    <hyperlink ref="G22" r:id="rId18" location="modal" display="https://www.jumbo.ch/fr/gros-outillage-atelier/ferrures-accessoires/profils/profiles-en-aluminium/alfer-tole-lisse-en-aluminium--1000--600--08-mm/p/4151895?tt=YnVuZGxlfGFyZWExfEF8QnVuZGxlfEJVTkRMRV9PVEdfTWFya2VufE9UR19idW5kbGVfTWFya2VfU0VQXw== - modal" xr:uid="{42A89D24-4B19-4AAB-B49D-DD8D50F21B02}"/>
    <hyperlink ref="G2" r:id="rId19" display="https://www.jumbo.ch/fr/construction-renovation/bois/decoupe-du-bois/panneaux-contreplaques/panneau-contreplaque-en-peuplier-oecoplan-ab-6-mm/p/4706102?tt=X1NFUF8xZmMxMzQwYjQ1Zjk2ZjExYjUxMjRjNzc2ZGU0NTY5Ml9QT1NfMTM=" xr:uid="{3D25BFB7-76C3-47E3-A7D6-2374B0DA5778}"/>
    <hyperlink ref="G3" r:id="rId20" display="https://www.jumbo.ch/fr/construction-renovation/bois/decoupe-du-bois/panneaux-contreplaques/panneau-contreplaque-en-peuplier-oecoplan-ab-4-mm/p/4706098?tt=X1NFUF9lY2RmOWJlN2VmNWI2NzliYmI0ZDQxOWNjNDdhNjQ1ZV9QT1NfMTg=" xr:uid="{5D1D3EF0-873E-444F-87BE-2F50E55F6A8E}"/>
    <hyperlink ref="G14" r:id="rId21" display="https://www.jumbo.ch/fr/gros-outillage-atelier/petite-quincaillerie/rondelles-plates-ecrous-gefundene-terminologie-eintraege4/ayce-rondelle--m8/p/6928510?tt=X1NFUF80Mjk0NGU0MTJkNTlmZmMwNWYyZDJkYmE2ZjA0ZjI1ZF9QT1NfMQ==" xr:uid="{49D72064-C937-4F03-8778-0A7D3C77C34F}"/>
  </hyperlinks>
  <pageMargins left="0.7" right="0.7" top="0.75" bottom="0.75" header="0.3" footer="0.3"/>
  <pageSetup paperSize="9" scale="95" orientation="landscape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DBB0-636F-404C-A911-66D3E128F628}">
  <sheetPr>
    <pageSetUpPr fitToPage="1"/>
  </sheetPr>
  <dimension ref="A1:J17"/>
  <sheetViews>
    <sheetView workbookViewId="0">
      <selection activeCell="H16" sqref="H16"/>
    </sheetView>
  </sheetViews>
  <sheetFormatPr baseColWidth="10" defaultRowHeight="15" x14ac:dyDescent="0.25"/>
  <cols>
    <col min="1" max="1" width="18.5703125" bestFit="1" customWidth="1"/>
    <col min="2" max="2" width="25.42578125" bestFit="1" customWidth="1"/>
    <col min="3" max="3" width="26.7109375" customWidth="1"/>
    <col min="4" max="4" width="18.5703125" customWidth="1"/>
    <col min="5" max="5" width="16.28515625" customWidth="1"/>
    <col min="6" max="6" width="15.28515625" customWidth="1"/>
    <col min="7" max="7" width="22.28515625" customWidth="1"/>
    <col min="8" max="8" width="22" customWidth="1"/>
    <col min="9" max="9" width="24.28515625" customWidth="1"/>
    <col min="10" max="10" width="34" customWidth="1"/>
  </cols>
  <sheetData>
    <row r="1" spans="1:10" ht="19.5" thickBot="1" x14ac:dyDescent="0.35">
      <c r="A1" s="66" t="s">
        <v>444</v>
      </c>
      <c r="B1" s="67"/>
      <c r="C1" s="67"/>
      <c r="D1" s="67"/>
      <c r="E1" s="67"/>
      <c r="F1" s="67"/>
      <c r="G1" s="67"/>
      <c r="H1" s="67"/>
      <c r="I1" s="68"/>
      <c r="J1" s="44"/>
    </row>
    <row r="2" spans="1:10" ht="15.75" x14ac:dyDescent="0.25">
      <c r="A2" s="45" t="s">
        <v>446</v>
      </c>
      <c r="B2" s="46" t="s">
        <v>443</v>
      </c>
      <c r="C2" s="46" t="s">
        <v>445</v>
      </c>
      <c r="D2" s="46" t="s">
        <v>451</v>
      </c>
      <c r="E2" s="46" t="s">
        <v>456</v>
      </c>
      <c r="F2" s="46" t="s">
        <v>452</v>
      </c>
      <c r="G2" s="46" t="s">
        <v>454</v>
      </c>
      <c r="H2" s="46" t="s">
        <v>455</v>
      </c>
      <c r="I2" s="47" t="s">
        <v>477</v>
      </c>
      <c r="J2" s="43" t="s">
        <v>448</v>
      </c>
    </row>
    <row r="3" spans="1:10" x14ac:dyDescent="0.25">
      <c r="A3" s="48" t="s">
        <v>447</v>
      </c>
      <c r="B3" s="49" t="s">
        <v>453</v>
      </c>
      <c r="C3" s="49" t="s">
        <v>450</v>
      </c>
      <c r="D3" s="49" t="s">
        <v>458</v>
      </c>
      <c r="E3" s="49">
        <v>8.4700000000000006</v>
      </c>
      <c r="F3" s="49">
        <f>331.31+34.82</f>
        <v>366.13</v>
      </c>
      <c r="G3" s="49">
        <f>27+68.32+3.22</f>
        <v>98.539999999999992</v>
      </c>
      <c r="H3" s="49">
        <v>464.65</v>
      </c>
      <c r="I3" s="50"/>
      <c r="J3" s="2" t="s">
        <v>449</v>
      </c>
    </row>
    <row r="4" spans="1:10" x14ac:dyDescent="0.25">
      <c r="A4" s="48" t="s">
        <v>447</v>
      </c>
      <c r="B4" s="49" t="s">
        <v>459</v>
      </c>
      <c r="C4" s="49" t="s">
        <v>460</v>
      </c>
      <c r="D4" s="49" t="s">
        <v>461</v>
      </c>
      <c r="E4" s="49">
        <v>20</v>
      </c>
      <c r="F4" s="49">
        <v>313.49</v>
      </c>
      <c r="G4" s="49">
        <f>27+68.32+3.22</f>
        <v>98.539999999999992</v>
      </c>
      <c r="H4" s="49">
        <f>F4+G4</f>
        <v>412.03</v>
      </c>
      <c r="I4" s="50"/>
      <c r="J4" s="2" t="s">
        <v>457</v>
      </c>
    </row>
    <row r="5" spans="1:10" x14ac:dyDescent="0.25">
      <c r="A5" s="48" t="s">
        <v>447</v>
      </c>
      <c r="B5" s="49" t="s">
        <v>502</v>
      </c>
      <c r="C5" s="49" t="s">
        <v>483</v>
      </c>
      <c r="D5" s="49" t="s">
        <v>436</v>
      </c>
      <c r="E5" s="49">
        <v>1.3</v>
      </c>
      <c r="F5" s="49">
        <v>25</v>
      </c>
      <c r="G5" s="49">
        <v>19</v>
      </c>
      <c r="H5" s="49">
        <f>2*F5+G5</f>
        <v>69</v>
      </c>
      <c r="I5" s="50" t="s">
        <v>484</v>
      </c>
      <c r="J5" s="2" t="s">
        <v>482</v>
      </c>
    </row>
    <row r="6" spans="1:10" x14ac:dyDescent="0.25">
      <c r="A6" s="48" t="s">
        <v>447</v>
      </c>
      <c r="B6" s="49" t="s">
        <v>502</v>
      </c>
      <c r="C6" s="49" t="s">
        <v>485</v>
      </c>
      <c r="D6" s="49" t="s">
        <v>436</v>
      </c>
      <c r="E6" s="49">
        <v>1.3</v>
      </c>
      <c r="F6" s="49">
        <v>52.2</v>
      </c>
      <c r="G6" s="49">
        <v>0</v>
      </c>
      <c r="H6" s="49">
        <f>2*F6+G6</f>
        <v>104.4</v>
      </c>
      <c r="I6" s="50" t="s">
        <v>484</v>
      </c>
      <c r="J6" s="2" t="s">
        <v>486</v>
      </c>
    </row>
    <row r="7" spans="1:10" x14ac:dyDescent="0.25">
      <c r="A7" s="48" t="s">
        <v>447</v>
      </c>
      <c r="B7" s="49" t="s">
        <v>502</v>
      </c>
      <c r="C7" s="49" t="s">
        <v>496</v>
      </c>
      <c r="D7" s="49" t="s">
        <v>436</v>
      </c>
      <c r="E7" s="49">
        <v>1.3</v>
      </c>
      <c r="F7" s="49">
        <v>17.149999999999999</v>
      </c>
      <c r="G7" s="49">
        <v>18</v>
      </c>
      <c r="H7" s="49">
        <f>2*F7+G7</f>
        <v>52.3</v>
      </c>
      <c r="I7" s="50" t="s">
        <v>484</v>
      </c>
      <c r="J7" s="2" t="s">
        <v>497</v>
      </c>
    </row>
    <row r="8" spans="1:10" ht="15.75" thickBot="1" x14ac:dyDescent="0.3">
      <c r="A8" s="51"/>
      <c r="B8" s="52"/>
      <c r="C8" s="52"/>
      <c r="D8" s="52"/>
      <c r="E8" s="52"/>
      <c r="F8" s="52"/>
      <c r="G8" s="52"/>
      <c r="H8" s="52"/>
      <c r="I8" s="53"/>
    </row>
    <row r="9" spans="1:10" ht="19.5" thickBot="1" x14ac:dyDescent="0.35">
      <c r="A9" s="66" t="s">
        <v>471</v>
      </c>
      <c r="B9" s="67"/>
      <c r="C9" s="67"/>
      <c r="D9" s="67"/>
      <c r="E9" s="67"/>
      <c r="F9" s="67"/>
      <c r="G9" s="67"/>
      <c r="H9" s="67"/>
      <c r="I9" s="68"/>
      <c r="J9" s="44"/>
    </row>
    <row r="10" spans="1:10" ht="15.75" x14ac:dyDescent="0.25">
      <c r="A10" s="45" t="s">
        <v>446</v>
      </c>
      <c r="B10" s="46" t="s">
        <v>443</v>
      </c>
      <c r="C10" s="46" t="s">
        <v>445</v>
      </c>
      <c r="D10" s="46" t="s">
        <v>451</v>
      </c>
      <c r="E10" s="46" t="s">
        <v>456</v>
      </c>
      <c r="F10" s="46" t="s">
        <v>452</v>
      </c>
      <c r="G10" s="46" t="s">
        <v>454</v>
      </c>
      <c r="H10" s="46" t="s">
        <v>455</v>
      </c>
      <c r="I10" s="47" t="s">
        <v>477</v>
      </c>
      <c r="J10" s="43" t="s">
        <v>448</v>
      </c>
    </row>
    <row r="11" spans="1:10" x14ac:dyDescent="0.25">
      <c r="A11" s="48" t="s">
        <v>463</v>
      </c>
      <c r="B11" s="49" t="s">
        <v>464</v>
      </c>
      <c r="C11" s="49" t="s">
        <v>465</v>
      </c>
      <c r="D11" s="49" t="s">
        <v>466</v>
      </c>
      <c r="E11" s="49">
        <v>14.5</v>
      </c>
      <c r="F11" s="49">
        <v>410.7</v>
      </c>
      <c r="G11" s="49">
        <v>75.7</v>
      </c>
      <c r="H11" s="49">
        <f>F11+G11</f>
        <v>486.4</v>
      </c>
      <c r="I11" s="50"/>
      <c r="J11" s="2" t="s">
        <v>462</v>
      </c>
    </row>
    <row r="12" spans="1:10" x14ac:dyDescent="0.25">
      <c r="A12" s="48" t="s">
        <v>463</v>
      </c>
      <c r="B12" s="49" t="s">
        <v>468</v>
      </c>
      <c r="C12" s="49" t="s">
        <v>469</v>
      </c>
      <c r="D12" s="49" t="s">
        <v>470</v>
      </c>
      <c r="E12" s="49">
        <f>7.6*4*1.5</f>
        <v>45.599999999999994</v>
      </c>
      <c r="F12" s="49"/>
      <c r="G12" s="49"/>
      <c r="H12" s="49"/>
      <c r="I12" s="50"/>
      <c r="J12" s="2" t="s">
        <v>467</v>
      </c>
    </row>
    <row r="13" spans="1:10" x14ac:dyDescent="0.25">
      <c r="A13" s="48" t="s">
        <v>447</v>
      </c>
      <c r="B13" s="49" t="s">
        <v>472</v>
      </c>
      <c r="C13" s="49" t="s">
        <v>489</v>
      </c>
      <c r="D13" s="49" t="s">
        <v>415</v>
      </c>
      <c r="E13" s="49"/>
      <c r="F13" s="49"/>
      <c r="G13" s="49"/>
      <c r="H13" s="49"/>
      <c r="I13" s="50" t="s">
        <v>498</v>
      </c>
      <c r="J13" s="2" t="s">
        <v>490</v>
      </c>
    </row>
    <row r="14" spans="1:10" x14ac:dyDescent="0.25">
      <c r="A14" s="48" t="s">
        <v>479</v>
      </c>
      <c r="B14" s="49" t="s">
        <v>473</v>
      </c>
      <c r="C14" s="49" t="s">
        <v>475</v>
      </c>
      <c r="D14" s="49" t="s">
        <v>476</v>
      </c>
      <c r="E14" s="49"/>
      <c r="F14" s="49">
        <v>90</v>
      </c>
      <c r="G14" s="49">
        <v>30</v>
      </c>
      <c r="H14" s="49">
        <f>F14+G14</f>
        <v>120</v>
      </c>
      <c r="I14" s="50" t="s">
        <v>478</v>
      </c>
      <c r="J14" s="2" t="s">
        <v>474</v>
      </c>
    </row>
    <row r="15" spans="1:10" x14ac:dyDescent="0.25">
      <c r="A15" s="48" t="s">
        <v>471</v>
      </c>
      <c r="B15" s="49" t="s">
        <v>480</v>
      </c>
      <c r="C15" s="49" t="s">
        <v>481</v>
      </c>
      <c r="D15" s="49" t="s">
        <v>487</v>
      </c>
      <c r="E15" s="49"/>
      <c r="F15" s="49">
        <v>72</v>
      </c>
      <c r="G15" s="49">
        <v>19</v>
      </c>
      <c r="H15" s="49">
        <f>2*F15+G15</f>
        <v>163</v>
      </c>
      <c r="I15" s="50" t="s">
        <v>484</v>
      </c>
      <c r="J15" s="2" t="s">
        <v>488</v>
      </c>
    </row>
    <row r="16" spans="1:10" x14ac:dyDescent="0.25">
      <c r="A16" s="51" t="s">
        <v>499</v>
      </c>
      <c r="B16" s="52" t="s">
        <v>500</v>
      </c>
      <c r="C16" s="52"/>
      <c r="D16" s="52"/>
      <c r="E16" s="52"/>
      <c r="F16" s="52"/>
      <c r="G16" s="52"/>
      <c r="H16" s="52"/>
      <c r="I16" s="53" t="s">
        <v>501</v>
      </c>
      <c r="J16" s="2"/>
    </row>
    <row r="17" spans="1:10" ht="15.75" thickBot="1" x14ac:dyDescent="0.3">
      <c r="A17" s="54" t="s">
        <v>479</v>
      </c>
      <c r="B17" s="55" t="s">
        <v>493</v>
      </c>
      <c r="C17" s="55" t="s">
        <v>481</v>
      </c>
      <c r="D17" s="55" t="s">
        <v>492</v>
      </c>
      <c r="E17" s="55"/>
      <c r="F17" s="55">
        <v>36</v>
      </c>
      <c r="G17" s="55">
        <v>19</v>
      </c>
      <c r="H17" s="55">
        <f>F17+G17</f>
        <v>55</v>
      </c>
      <c r="I17" s="56" t="s">
        <v>478</v>
      </c>
      <c r="J17" s="2" t="s">
        <v>491</v>
      </c>
    </row>
  </sheetData>
  <mergeCells count="2">
    <mergeCell ref="A1:I1"/>
    <mergeCell ref="A9:I9"/>
  </mergeCells>
  <hyperlinks>
    <hyperlink ref="J3" r:id="rId1" display="https://shop.d-a.ch/prod/f/10237606" xr:uid="{F95BCEBA-AF04-4BA0-8C52-FD53878295A2}"/>
    <hyperlink ref="J4" r:id="rId2" display="https://kohler.ch/fr/produit/705010tole-supermirror" xr:uid="{CD9A0B7A-851F-4F91-A5D1-95C47CB0277A}"/>
    <hyperlink ref="J11" r:id="rId3" display="https://www.antalis.ch/eshop/fr/visual-communication/plaques-elements-decoratifs/dibond-miroir-argent-3mm-1250x3050mm-pdp-hq02145/sku-330886" xr:uid="{E2981B69-10A4-4A8F-BD77-CE9328B178B4}"/>
    <hyperlink ref="J12" r:id="rId4" display="https://www.allega.ch/Alucobond-Plus-RF2-schwerbrennbar-BKZ-5.3/782204" xr:uid="{6C7F7B24-F770-4380-B8D0-773F87B82813}"/>
    <hyperlink ref="J14" r:id="rId5" display="https://www.solarbrother.com/acheter/reflecteur-solaire-adhesif-s-reflect-500/" xr:uid="{5904CD79-B333-4784-A1EF-47BF3BA88E65}"/>
    <hyperlink ref="J5" r:id="rId6" display="https://www.bauhaus.ch/fr/toles-lisses/kantoflex-tole-lisse/p/10244677" xr:uid="{A83AFE03-1453-461A-8F25-EBEC798DD173}"/>
    <hyperlink ref="J6" r:id="rId7" display="https://www.buchmann.ch/fr/alfer-tle-lisse-alu-08-mm-soudee-nue-largeur-600-mm-longueur-1000-mm-p-530590.html" xr:uid="{361D7E6C-DA4B-4E94-BA94-DECF4B975557}"/>
    <hyperlink ref="J15" r:id="rId8" location="modal" display="https://www.jumbo.ch/fr/construction-renovation/verre-verre-synthetique/verre-synthetique/miroir-en-polystyrene-2mm-100x100cm/p/3374633?tt=cHJvZHVjdHxhcmVhMnxBfFN0YW5kYXJka2FtcGFnbmV8cHJvZHVjdF9jcm9zc3NlbGxpbmd8UDJQX3Byb2R1Y3RfU0VQXw== - modal" xr:uid="{6DCA587C-3FF9-4B3C-82B8-24355B878B0B}"/>
    <hyperlink ref="J13" r:id="rId9" display="https://alanod.com/applications/lighting-industry/indoor/" xr:uid="{7C15D9F6-9A94-4048-AD9B-2DFCB5A7D375}"/>
    <hyperlink ref="J17" r:id="rId10" display="https://www.jumbo.ch/fr/sejour-eclairage/accessoires-d-interieur/films-adhesifs/film-pour-vitres-d-c-fix-film-anti-regards-miroir-90-cm-x-150-m/p/7339081?tt=X1NFUF9iY2QzMzFjZDgxOTRhMzE3NGRhOWM3ZWU2ZmQ5OGEwZl9QT1NfMw==" xr:uid="{6AD803DA-7D73-4FB1-82F7-7D8F1929AA36}"/>
    <hyperlink ref="J7" r:id="rId11" display="https://www.hornbach.ch/fr/p/alberts-tole-lisse-aluminium-600-x-1000-x-0-8-mm/7296989/" xr:uid="{A7989981-7EE4-4AB2-880A-185782C430BF}"/>
  </hyperlinks>
  <pageMargins left="0.7" right="0.7" top="0.75" bottom="0.75" header="0.3" footer="0.3"/>
  <pageSetup paperSize="9" scale="43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BOM par assamblage</vt:lpstr>
      <vt:lpstr>BOM par type</vt:lpstr>
      <vt:lpstr>Choix Miroirs</vt:lpstr>
      <vt:lpstr>'BOM par assamblage'!Zone_d_impression</vt:lpstr>
      <vt:lpstr>'BOM par type'!Zone_d_impression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Raball Quentin</dc:creator>
  <cp:lastModifiedBy>Raball Quentin</cp:lastModifiedBy>
  <cp:lastPrinted>2026-07-15T09:45:47Z</cp:lastPrinted>
  <dcterms:created xsi:type="dcterms:W3CDTF">2026-06-10T13:32:28Z</dcterms:created>
  <dcterms:modified xsi:type="dcterms:W3CDTF">2026-08-05T05:25:20Z</dcterms:modified>
</cp:coreProperties>
</file>